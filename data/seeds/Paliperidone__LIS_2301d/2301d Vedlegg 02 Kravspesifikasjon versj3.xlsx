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gudgud\Desktop\Mercell\Tilleggsavtaler 2301d\"/>
    </mc:Choice>
  </mc:AlternateContent>
  <xr:revisionPtr revIDLastSave="0" documentId="13_ncr:1_{E6868168-CE96-48AC-B46F-09353617B9C5}" xr6:coauthVersionLast="47" xr6:coauthVersionMax="47" xr10:uidLastSave="{00000000-0000-0000-0000-000000000000}"/>
  <bookViews>
    <workbookView xWindow="-120" yWindow="-120" windowWidth="51840" windowHeight="21240" tabRatio="740" firstSheet="1" activeTab="2" xr2:uid="{A37B8016-6F1C-4E9D-BB8F-83E5E8E43DD3}"/>
  </bookViews>
  <sheets>
    <sheet name="1. Innhold" sheetId="1" r:id="rId1"/>
    <sheet name="2. Forklaring til kravspes." sheetId="2" r:id="rId2"/>
    <sheet name="3. Anskaffelsen" sheetId="3" r:id="rId3"/>
    <sheet name="4. Krav til lev." sheetId="4" r:id="rId4"/>
    <sheet name="5. Krav til prod." sheetId="5" r:id="rId5"/>
    <sheet name="Lister" sheetId="6" state="hidden" r:id="rId6"/>
  </sheets>
  <externalReferences>
    <externalReference r:id="rId7"/>
  </externalReferences>
  <definedNames>
    <definedName name="_xlnm._FilterDatabase" localSheetId="2" hidden="1">'3. Anskaffelsen'!$B$7:$J$155</definedName>
    <definedName name="Anskaffelsesnavn">Lister!$E$7</definedName>
    <definedName name="Delleveranse">'5. Krav til prod.'!$G$10</definedName>
    <definedName name="Dokumentnavn">Lister!$E$9</definedName>
    <definedName name="Dokumentnummer">Lister!$E$8</definedName>
    <definedName name="kolonnematch_vektingsoppslag">[1]Vektingsoppslag!$D$1</definedName>
    <definedName name="kravtype">Lister!$G$43:$G$44</definedName>
    <definedName name="navn_Anskaffelseskode">Lister!$E$6</definedName>
    <definedName name="navn_atc">'5. Krav til prod.'!$G$22:$I$22</definedName>
    <definedName name="navn_bruksomrade">'5. Krav til prod.'!$G$25</definedName>
    <definedName name="navn_delleveranse">'5. Krav til prod.'!$G$18</definedName>
    <definedName name="navn_leverandornavn">'4. Krav til lev.'!$G$19</definedName>
    <definedName name="navn_leverandornavn_produktfane">'5. Krav til prod.'!$G$17</definedName>
    <definedName name="navn_Navn_på_kravspesifikasjon">Lister!$E$10</definedName>
    <definedName name="navn_undergruppe">'5. Krav til prod.'!$G$24</definedName>
    <definedName name="navn_virkestoff">'5. Krav til prod.'!$G$23</definedName>
    <definedName name="oppfylt">Lister!$E$44:$E$44</definedName>
    <definedName name="toggle_betingetFormatering" comment="Hvis JA - skru på">Lister!$A$26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5" i="3" l="1"/>
  <c r="J51" i="3"/>
  <c r="J103" i="3"/>
  <c r="J76" i="3"/>
  <c r="J73" i="3"/>
  <c r="J154" i="3" l="1"/>
  <c r="J133" i="3"/>
  <c r="J134" i="3"/>
  <c r="J135" i="3"/>
  <c r="J136" i="3"/>
  <c r="J137" i="3"/>
  <c r="J138" i="3"/>
  <c r="J139" i="3"/>
  <c r="J140" i="3"/>
  <c r="J141" i="3"/>
  <c r="J142" i="3"/>
  <c r="J143" i="3"/>
  <c r="J144" i="3"/>
  <c r="J145" i="3"/>
  <c r="J146" i="3"/>
  <c r="J147" i="3"/>
  <c r="J148" i="3"/>
  <c r="J149" i="3"/>
  <c r="J150" i="3"/>
  <c r="J151" i="3"/>
  <c r="J152" i="3"/>
  <c r="J153" i="3"/>
  <c r="J131" i="3"/>
  <c r="J132" i="3"/>
  <c r="J70" i="3"/>
  <c r="J71" i="3"/>
  <c r="J72" i="3"/>
  <c r="J74" i="3"/>
  <c r="J75" i="3"/>
  <c r="J77" i="3"/>
  <c r="J78" i="3"/>
  <c r="J79" i="3"/>
  <c r="J80" i="3"/>
  <c r="J81" i="3"/>
  <c r="J82" i="3"/>
  <c r="J83" i="3"/>
  <c r="J84" i="3"/>
  <c r="J85" i="3"/>
  <c r="J86" i="3"/>
  <c r="J87" i="3"/>
  <c r="J88" i="3"/>
  <c r="J89" i="3"/>
  <c r="J90" i="3"/>
  <c r="J91" i="3"/>
  <c r="J92" i="3"/>
  <c r="J93" i="3"/>
  <c r="J94" i="3"/>
  <c r="J95" i="3"/>
  <c r="J96" i="3"/>
  <c r="J97" i="3"/>
  <c r="J98" i="3"/>
  <c r="J99" i="3"/>
  <c r="J100" i="3"/>
  <c r="J101" i="3"/>
  <c r="J102"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65" i="3"/>
  <c r="J66" i="3"/>
  <c r="J67" i="3"/>
  <c r="J68" i="3"/>
  <c r="J69" i="3"/>
  <c r="J60" i="3"/>
  <c r="J61" i="3"/>
  <c r="J62" i="3"/>
  <c r="J63" i="3"/>
  <c r="J64" i="3"/>
  <c r="B52" i="5" l="1"/>
  <c r="C52" i="5"/>
  <c r="B63" i="5"/>
  <c r="B64" i="5"/>
  <c r="B65" i="5"/>
  <c r="B66" i="5"/>
  <c r="C63" i="5"/>
  <c r="C64" i="5"/>
  <c r="C65" i="5"/>
  <c r="C66" i="5"/>
  <c r="B67" i="5"/>
  <c r="B68" i="5"/>
  <c r="C67" i="5"/>
  <c r="C68" i="5"/>
  <c r="B69" i="5"/>
  <c r="C69" i="5"/>
  <c r="B48" i="5"/>
  <c r="C48" i="5"/>
  <c r="B49" i="5"/>
  <c r="C49" i="5"/>
  <c r="D10" i="5" l="1"/>
  <c r="D11" i="5"/>
  <c r="D9" i="5"/>
  <c r="D7" i="5"/>
  <c r="D8" i="5"/>
  <c r="D12" i="5"/>
  <c r="D13" i="5"/>
  <c r="D14" i="5"/>
  <c r="F36" i="5" l="1"/>
  <c r="B6" i="3" l="1"/>
  <c r="G7" i="5" l="1"/>
  <c r="G8" i="5"/>
  <c r="G9" i="5"/>
  <c r="G10" i="5"/>
  <c r="G11" i="5"/>
  <c r="G12" i="5"/>
  <c r="D20" i="5" l="1" a="1"/>
  <c r="D20" i="5" s="1"/>
  <c r="A76" i="6" a="1"/>
  <c r="A76" i="6" s="1"/>
  <c r="J8" i="3"/>
  <c r="J9" i="3"/>
  <c r="J10" i="3"/>
  <c r="J11" i="3"/>
  <c r="J12" i="3"/>
  <c r="J13" i="3"/>
  <c r="J14" i="3"/>
  <c r="J16" i="3"/>
  <c r="J19" i="3"/>
  <c r="J22" i="3"/>
  <c r="J23" i="3"/>
  <c r="J24" i="3"/>
  <c r="J27" i="3"/>
  <c r="J15" i="3"/>
  <c r="J17" i="3"/>
  <c r="J18" i="3"/>
  <c r="J20" i="3"/>
  <c r="J21" i="3"/>
  <c r="J25" i="3"/>
  <c r="J26" i="3"/>
  <c r="J28" i="3"/>
  <c r="J29" i="3"/>
  <c r="J32" i="3"/>
  <c r="J42" i="3"/>
  <c r="J30" i="3"/>
  <c r="J31" i="3"/>
  <c r="J33" i="3"/>
  <c r="J34" i="3"/>
  <c r="J35" i="3"/>
  <c r="J36" i="3"/>
  <c r="J37" i="3"/>
  <c r="J38" i="3"/>
  <c r="J39" i="3"/>
  <c r="J40" i="3"/>
  <c r="J41" i="3"/>
  <c r="J43" i="3"/>
  <c r="J44" i="3"/>
  <c r="J45" i="3"/>
  <c r="J46" i="3"/>
  <c r="J47" i="3"/>
  <c r="J48" i="3"/>
  <c r="J49" i="3"/>
  <c r="J50" i="3"/>
  <c r="J52" i="3"/>
  <c r="J53" i="3"/>
  <c r="J54" i="3"/>
  <c r="J55" i="3"/>
  <c r="J56" i="3"/>
  <c r="J57" i="3"/>
  <c r="J58" i="3"/>
  <c r="J59" i="3"/>
  <c r="D3" i="5"/>
  <c r="D3" i="4"/>
  <c r="B1" i="1"/>
  <c r="D36" i="5"/>
  <c r="D8" i="4"/>
  <c r="G8" i="4"/>
  <c r="D9" i="4"/>
  <c r="G9" i="4"/>
  <c r="D10" i="4"/>
  <c r="G10" i="4"/>
  <c r="D11" i="4"/>
  <c r="G11" i="4"/>
  <c r="D12" i="4"/>
  <c r="G12" i="4"/>
  <c r="D13" i="4"/>
  <c r="G13" i="4"/>
  <c r="D14" i="4"/>
  <c r="G14" i="4"/>
  <c r="D15" i="4"/>
  <c r="G15" i="4"/>
  <c r="G19" i="5" l="1"/>
  <c r="B70" i="5"/>
  <c r="C70" i="5"/>
  <c r="B62" i="5"/>
  <c r="C62" i="5"/>
  <c r="B61" i="5"/>
  <c r="C61" i="5"/>
  <c r="B60" i="5"/>
  <c r="C60" i="5"/>
  <c r="B59" i="5"/>
  <c r="C59" i="5"/>
  <c r="B58" i="5"/>
  <c r="C58" i="5"/>
  <c r="B57" i="5"/>
  <c r="C57" i="5"/>
  <c r="B56" i="5"/>
  <c r="C56" i="5"/>
  <c r="H6" i="6" l="1"/>
  <c r="C40" i="5" l="1"/>
  <c r="C41" i="5"/>
  <c r="C42" i="5"/>
  <c r="C43" i="5"/>
  <c r="C44" i="5"/>
  <c r="C47" i="5"/>
  <c r="C45" i="5"/>
  <c r="C46" i="5"/>
  <c r="C50" i="5"/>
  <c r="C51" i="5"/>
  <c r="C53" i="5"/>
  <c r="C54" i="5"/>
  <c r="C55" i="5"/>
  <c r="B40" i="5"/>
  <c r="B41" i="5"/>
  <c r="B42" i="5"/>
  <c r="B43" i="5"/>
  <c r="B44" i="5"/>
  <c r="B47" i="5"/>
  <c r="B45" i="5"/>
  <c r="B46" i="5"/>
  <c r="B50" i="5"/>
  <c r="B51" i="5"/>
  <c r="B53" i="5"/>
  <c r="B54" i="5"/>
  <c r="B55" i="5"/>
  <c r="C27" i="4"/>
  <c r="C28" i="4"/>
  <c r="B27" i="4"/>
  <c r="B28" i="4"/>
  <c r="G13" i="5"/>
  <c r="G14" i="5"/>
  <c r="G25" i="5" l="1"/>
  <c r="G24" i="5"/>
  <c r="G23" i="5"/>
  <c r="G2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tc={AB09BA2B-4D49-420D-BE21-AE5EEBC9BC38}</author>
  </authors>
  <commentList>
    <comment ref="B26" authorId="0" shapeId="0" xr:uid="{AB09BA2B-4D49-420D-BE21-AE5EEBC9BC38}">
      <text>
        <t xml:space="preserve">[Kommentartråd]
Din versjon av Excel lar deg lese denne kommentartråden. Eventuelle endringer i den vil imidlertid bli fjernet hvis filen åpnes i en nyere versjon av Excel. Finn ut mer: https://go.microsoft.com/fwlink/?linkid=870924
Kommentar:
    Hva hvis det leveres tilbud på produkter med ulike språk, bør denne teksten endres slik at det er samsvar med pkt. 3.1 i Konkurransebestemmelsene.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tc={30D21107-ACB9-4AB2-8B21-A0688A85E2EA}</author>
  </authors>
  <commentList>
    <comment ref="G15" authorId="0" shapeId="0" xr:uid="{30D21107-ACB9-4AB2-8B21-A0688A85E2EA}">
      <text>
        <t>[Kommentartråd]
Din versjon av Excel lar deg lese denne kommentartråden. Eventuelle endringer i den vil imidlertid bli fjernet hvis filen åpnes i en nyere versjon av Excel. Finn ut mer: https://go.microsoft.com/fwlink/?linkid=870924
Kommentar:
    Fjernes det som er markert i grått?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tc={E9A395FD-12B0-4BD7-89E7-15C75ED3F80D}</author>
  </authors>
  <commentList>
    <comment ref="D4" authorId="0" shapeId="0" xr:uid="{E9A395FD-12B0-4BD7-89E7-15C75ED3F80D}">
      <text>
        <t>[Kommentartråd]
Din versjon av Excel lar deg lese denne kommentartråden. Eventuelle endringer i den vil imidlertid bli fjernet hvis filen åpnes i en nyere versjon av Excel. Finn ut mer: https://go.microsoft.com/fwlink/?linkid=870924
Kommentar:
    Sett inn sammenslått streng for typ filnavn..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<sst xmlns="http://schemas.openxmlformats.org/spreadsheetml/2006/main" count="1619" uniqueCount="623">
  <si>
    <r>
      <t>1.</t>
    </r>
    <r>
      <rPr>
        <b/>
        <sz val="7"/>
        <color theme="1"/>
        <rFont val="Times New Roman"/>
        <family val="1"/>
      </rPr>
      <t xml:space="preserve">    </t>
    </r>
    <r>
      <rPr>
        <b/>
        <sz val="16"/>
        <color theme="1"/>
        <rFont val="Calibri"/>
        <family val="2"/>
        <scheme val="minor"/>
      </rPr>
      <t xml:space="preserve">Innhold </t>
    </r>
  </si>
  <si>
    <t>Dette dokumentet består av:</t>
  </si>
  <si>
    <t xml:space="preserve">-          Forklaring til kravspesifikasjonen </t>
  </si>
  <si>
    <t>-          Anskaffelsens innhold</t>
  </si>
  <si>
    <t>-          Krav til leverandøren</t>
  </si>
  <si>
    <t>-          Krav til produktene</t>
  </si>
  <si>
    <r>
      <t>2.</t>
    </r>
    <r>
      <rPr>
        <b/>
        <sz val="7"/>
        <color theme="1"/>
        <rFont val="Times New Roman"/>
        <family val="1"/>
      </rPr>
      <t xml:space="preserve">    </t>
    </r>
    <r>
      <rPr>
        <b/>
        <sz val="16"/>
        <color theme="1"/>
        <rFont val="Calibri"/>
        <family val="2"/>
        <scheme val="minor"/>
      </rPr>
      <t xml:space="preserve">Forklaring til kravspesifikasjonen </t>
    </r>
  </si>
  <si>
    <t>Oppdragsgiver har angitt formålet med anskaffelsen, og sine krav og behov i kravspesifikasjonen. Dette danner grunnlaget for Tilbyderens tilbud.</t>
  </si>
  <si>
    <r>
      <t>I kravspesifikasjonen er det lagt vekt på å beskrive de behov som skal dekkes. Tilbyderen skal med utgangspunkt i kravspesifikasjonens rammer gi tilbud på forespurte produkter og beskrive hvordan kravene som stilles vil bli oppfylt. Tilbyderen er ansvarlig for at leveransen til enhver tid dekker kravene som er spesifisert i Vedlegg 02</t>
    </r>
    <r>
      <rPr>
        <i/>
        <sz val="11"/>
        <color rgb="FF000000"/>
        <rFont val="Arial"/>
        <family val="2"/>
      </rPr>
      <t>.</t>
    </r>
  </si>
  <si>
    <r>
      <t>Tilbyderen skal besvare kravene direkte i kravspesifikasjonen og henvise til egne vedlegg ved behov. En tydelig og poengtert besvarelse vil lette Oppdragsgivers evaluering av tilbudet og sikre at korrekt informasjon blir brukt ved evalueringen. Det skal også her henvises til hvor i besvarelsen en eventuell utdypende beskrivelse, som kan ha betydning ved evalueringen, finnes. Henvisningen skal gi informasjon om navn på dokument, side og avsnitt. En besvarelse som for eksempel "se katalog / brosjyre" er ikke ønskelig, og kan føre til at tilbudet blir evaluert uten at Oppdragsgiver har kjennskap til alle egenskaper ved tilbudet / produktet.</t>
    </r>
    <r>
      <rPr>
        <sz val="8"/>
        <color rgb="FF000000"/>
        <rFont val="Calibri"/>
        <family val="2"/>
        <scheme val="minor"/>
      </rPr>
      <t> </t>
    </r>
  </si>
  <si>
    <r>
      <t>Kravene er utformet som SKAL-krav ("S") og BØR-krav ("B"). Dette kommer frem i kolonnen "kravtype</t>
    </r>
    <r>
      <rPr>
        <b/>
        <sz val="11"/>
        <color theme="1"/>
        <rFont val="Calibri"/>
        <family val="2"/>
        <scheme val="minor"/>
      </rPr>
      <t>"</t>
    </r>
    <r>
      <rPr>
        <sz val="11"/>
        <color theme="1"/>
        <rFont val="Calibri"/>
        <family val="2"/>
        <scheme val="minor"/>
      </rPr>
      <t xml:space="preserve"> i tabellene.</t>
    </r>
  </si>
  <si>
    <r>
      <t>SKAL-krav er minstekrav til produktet. Alle SKAL-krav må være oppfylt for at produktet skal bli evaluert. Manglende oppfyllelse av SKAL-krav er et vesentlig avvik fra kravspesifikasjonen og vil medføre at tilbudet for de</t>
    </r>
    <r>
      <rPr>
        <sz val="11"/>
        <color rgb="FF366092"/>
        <rFont val="Calibri"/>
        <family val="2"/>
        <scheme val="minor"/>
      </rPr>
      <t>t</t>
    </r>
    <r>
      <rPr>
        <sz val="11"/>
        <color theme="1"/>
        <rFont val="Calibri"/>
        <family val="2"/>
        <scheme val="minor"/>
      </rPr>
      <t xml:space="preserve"> aktuelle produktet, eller den delleveransen produktet tilhører,</t>
    </r>
    <r>
      <rPr>
        <sz val="11"/>
        <color rgb="FF000000"/>
        <rFont val="Calibri"/>
        <family val="2"/>
        <scheme val="minor"/>
      </rPr>
      <t xml:space="preserve"> avvises fra konkurransen. SKAL-krav vil ikke bli evaluert utover om det er oppfylt eller ikke.</t>
    </r>
    <r>
      <rPr>
        <b/>
        <sz val="11"/>
        <color rgb="FFFF0000"/>
        <rFont val="Calibri"/>
        <family val="2"/>
        <scheme val="minor"/>
      </rPr>
      <t xml:space="preserve"> </t>
    </r>
    <r>
      <rPr>
        <sz val="11"/>
        <color rgb="FF000000"/>
        <rFont val="Calibri"/>
        <family val="2"/>
        <scheme val="minor"/>
      </rPr>
      <t>Tilbyderen</t>
    </r>
    <r>
      <rPr>
        <b/>
        <sz val="11"/>
        <color rgb="FF000000"/>
        <rFont val="Calibri"/>
        <family val="2"/>
        <scheme val="minor"/>
      </rPr>
      <t xml:space="preserve"> </t>
    </r>
    <r>
      <rPr>
        <sz val="11"/>
        <color rgb="FF000000"/>
        <rFont val="Calibri"/>
        <family val="2"/>
        <scheme val="minor"/>
      </rPr>
      <t xml:space="preserve">skal angi svar 'JA' eller velge et eventuelt alternativ i nedtrekksmenyen for om det tilbudte produkt oppfyller kravet som angis i punktet. </t>
    </r>
  </si>
  <si>
    <r>
      <t>BØR-krav er momenter som vil bli tillagt vekt i evalueringen av kvalitet (tildelingskriteriene X, Z og Y)</t>
    </r>
    <r>
      <rPr>
        <b/>
        <sz val="11"/>
        <color rgb="FF4472C4"/>
        <rFont val="Calibri"/>
        <family val="2"/>
        <scheme val="minor"/>
      </rPr>
      <t xml:space="preserve">, og de nærmere angitte underkriterier (se kolonne "Underkriterium"). </t>
    </r>
    <r>
      <rPr>
        <sz val="11"/>
        <color rgb="FF4472C4"/>
        <rFont val="Calibri"/>
        <family val="2"/>
        <scheme val="minor"/>
      </rPr>
      <t>For BØR-krav vurderer Oppdragsgiver hvor godt de aktuelle kravene er oppfylt. Produkter som oppfyller BØR-kravene best vil få flest poeng.</t>
    </r>
  </si>
  <si>
    <t>Tilbyderen skal fylle ut de hvite feltene i kravspesifikasjonen. Tilbyderen skal ikke legge til eller slette verken linjer eller kolonner i kravspesifikasjonen.</t>
  </si>
  <si>
    <t>Der det leveres tilbud på delleveransenummer ikke er listet i arkfane 3, bes leverandør legge til korrekt informasjon i arkfane 3.</t>
  </si>
  <si>
    <r>
      <t>Oppdragsgiver har gitt hver linje i kravspesifikasjonen et unikt identifikasjonsnummer</t>
    </r>
    <r>
      <rPr>
        <sz val="11"/>
        <color theme="1"/>
        <rFont val="Calibri"/>
        <family val="2"/>
        <scheme val="minor"/>
      </rPr>
      <t xml:space="preserve"> (kolonne B)</t>
    </r>
    <r>
      <rPr>
        <sz val="11"/>
        <color rgb="FF000000"/>
        <rFont val="Calibri"/>
        <family val="2"/>
        <scheme val="minor"/>
      </rPr>
      <t>. Dette for lettere å kunne henvise til riktig punkt i kravspesifikasjonen ved behov.</t>
    </r>
  </si>
  <si>
    <t xml:space="preserve">Dersom Tilbyderen har behov for eller ønsker å laste opp produktinformasjon, kan dette gjøres i PharmaWeb. Det vises til konkurransegrunnlagets Vedlegg 04 Bilag 4 pkt. 8. </t>
  </si>
  <si>
    <t>2.1 - Leverandør</t>
  </si>
  <si>
    <t>Arkfane 'Krav til lev.' fylles kun ut én gang for hver Leverandør.</t>
  </si>
  <si>
    <t>2.2 - Produkt</t>
  </si>
  <si>
    <t>Det skal leveres én besvarelse per delleveranse (ATC/substans/undergruppe/bruksområde). Arkfane 'Krav til prod.'</t>
  </si>
  <si>
    <r>
      <t>3.</t>
    </r>
    <r>
      <rPr>
        <b/>
        <sz val="7"/>
        <color theme="1"/>
        <rFont val="Times New Roman"/>
        <family val="1"/>
      </rPr>
      <t xml:space="preserve">    </t>
    </r>
    <r>
      <rPr>
        <b/>
        <sz val="16"/>
        <color theme="1"/>
        <rFont val="Calibri"/>
        <family val="2"/>
        <scheme val="minor"/>
      </rPr>
      <t>Beskrivelse av anskaffelsens innhold</t>
    </r>
  </si>
  <si>
    <t>Det ønskes tilbud på følgende delleveranser innenfor området</t>
  </si>
  <si>
    <t>SKJULES? HVOR MANGE TRENGS</t>
  </si>
  <si>
    <t>Kravsett for delleveranse - se arkfane 5. Krav til prod</t>
  </si>
  <si>
    <t>Delleveranse</t>
  </si>
  <si>
    <t>ATC</t>
  </si>
  <si>
    <t>Virkestoff</t>
  </si>
  <si>
    <t>Legemiddelformgruppe</t>
  </si>
  <si>
    <t>Bruksparameter Sykehusinnkjøp</t>
  </si>
  <si>
    <t>Parallell avtale Ja/nei</t>
  </si>
  <si>
    <t>Begrunnelse for parallell avtale</t>
  </si>
  <si>
    <t>Forventet lager hos grossist i Norge (B180, G2021) (inntil antall dager)</t>
  </si>
  <si>
    <t>Kravsett for delleveranse</t>
  </si>
  <si>
    <t>Kravsett 1</t>
  </si>
  <si>
    <t>Kravsett 2</t>
  </si>
  <si>
    <t>Kravsett 3</t>
  </si>
  <si>
    <t>Kravsett 4</t>
  </si>
  <si>
    <t>A03AD01</t>
  </si>
  <si>
    <t>Papaverin</t>
  </si>
  <si>
    <t>Injeksjon</t>
  </si>
  <si>
    <t/>
  </si>
  <si>
    <t>Nei</t>
  </si>
  <si>
    <t>(Ikke angitt)</t>
  </si>
  <si>
    <t>Generelle</t>
  </si>
  <si>
    <t>Inj/inf</t>
  </si>
  <si>
    <t>A03AD01 Papaverin</t>
  </si>
  <si>
    <t>A11BA</t>
  </si>
  <si>
    <t>Multivitaminer</t>
  </si>
  <si>
    <t>Mikstur/dråper</t>
  </si>
  <si>
    <t>A11CC05</t>
  </si>
  <si>
    <t>Kolekalsiferol</t>
  </si>
  <si>
    <t>A11DA01</t>
  </si>
  <si>
    <t>Tiamin</t>
  </si>
  <si>
    <t>IM, høy dose</t>
  </si>
  <si>
    <t>Tablett/kapsel</t>
  </si>
  <si>
    <t>Høy styrke</t>
  </si>
  <si>
    <t>Tabletter/kapsler</t>
  </si>
  <si>
    <t>A11EB</t>
  </si>
  <si>
    <t>Askorbinsyre, Tiamin, Riboflavin, Nikotinamid, Pyridoksin, Glukose</t>
  </si>
  <si>
    <t>Infusjonskonsentrat</t>
  </si>
  <si>
    <t>Askorbinsyre, Tiamin, Riboflavin, Nikotinamid, Pyridoksin</t>
  </si>
  <si>
    <t>Intramuskulært</t>
  </si>
  <si>
    <t>A11HA03</t>
  </si>
  <si>
    <t>Tokoferol</t>
  </si>
  <si>
    <t>A11JA</t>
  </si>
  <si>
    <t>Vitamin A, Vitamin D2, Cyanokobalamin, Kolin</t>
  </si>
  <si>
    <t>A12AA03</t>
  </si>
  <si>
    <t>Kalsiumglukonat</t>
  </si>
  <si>
    <t>A12CC</t>
  </si>
  <si>
    <t>Magnesiumglyserfosfat</t>
  </si>
  <si>
    <t>A14AA08</t>
  </si>
  <si>
    <t>Oksandrolon</t>
  </si>
  <si>
    <t>A16AA01</t>
  </si>
  <si>
    <t>Levokarnitin</t>
  </si>
  <si>
    <t>B01AB01</t>
  </si>
  <si>
    <t>Heparin</t>
  </si>
  <si>
    <t>1000IE Uten konservering</t>
  </si>
  <si>
    <t>5000IE uten konservering</t>
  </si>
  <si>
    <t>50IE uten konservering</t>
  </si>
  <si>
    <t>B02BA01</t>
  </si>
  <si>
    <t>Fytomenadion</t>
  </si>
  <si>
    <t>Høydose</t>
  </si>
  <si>
    <t>B02BD</t>
  </si>
  <si>
    <t>Faktor X, Faktor IX</t>
  </si>
  <si>
    <t>Tørrstoff</t>
  </si>
  <si>
    <t>B05XA16</t>
  </si>
  <si>
    <t>Kaliumklorid, Magnesiumklorid, Prokainhydroklorid</t>
  </si>
  <si>
    <t>C01BB02</t>
  </si>
  <si>
    <t>Meksiletin</t>
  </si>
  <si>
    <t>mot hjertearytmi</t>
  </si>
  <si>
    <t>C01CA07</t>
  </si>
  <si>
    <t>Dobutamin</t>
  </si>
  <si>
    <t>Infusjon</t>
  </si>
  <si>
    <t>C02AC01</t>
  </si>
  <si>
    <t>Klonidin</t>
  </si>
  <si>
    <t>C02AC01 Klonidin</t>
  </si>
  <si>
    <t>C02DB01</t>
  </si>
  <si>
    <t>Dihydralazin</t>
  </si>
  <si>
    <t>C03DA02</t>
  </si>
  <si>
    <t>Kanrenoinsyre</t>
  </si>
  <si>
    <t>C05</t>
  </si>
  <si>
    <t>Blodigler</t>
  </si>
  <si>
    <t>Topikal plaster/svamp/klut</t>
  </si>
  <si>
    <t>C05BB02</t>
  </si>
  <si>
    <t>Polidokanol</t>
  </si>
  <si>
    <t>Ja</t>
  </si>
  <si>
    <t>Ulike styrker</t>
  </si>
  <si>
    <t>C08CA05</t>
  </si>
  <si>
    <t>Nifedipin</t>
  </si>
  <si>
    <t>C08DA01</t>
  </si>
  <si>
    <t>Verapamil</t>
  </si>
  <si>
    <t>D01AE02</t>
  </si>
  <si>
    <t>Metylrosanilin</t>
  </si>
  <si>
    <t>Topikal liniment</t>
  </si>
  <si>
    <t>D02AC</t>
  </si>
  <si>
    <t>Vaselin</t>
  </si>
  <si>
    <t>Topikal krem/salve/gel</t>
  </si>
  <si>
    <t>Steril</t>
  </si>
  <si>
    <t>D08AG02</t>
  </si>
  <si>
    <t>Povidon, jodert</t>
  </si>
  <si>
    <t>D08AG02 Povidon, jodert, til bruk på hud</t>
  </si>
  <si>
    <t>Skrubb, med glyserol</t>
  </si>
  <si>
    <t>D08AG02 Povidon, jodert, til bruk på hud, skrubb, med glyserol</t>
  </si>
  <si>
    <t>D08AL01</t>
  </si>
  <si>
    <t>Sølvnitrat</t>
  </si>
  <si>
    <t>Stift</t>
  </si>
  <si>
    <t>G01AX03</t>
  </si>
  <si>
    <t>Polikresulen</t>
  </si>
  <si>
    <t>Vaginal</t>
  </si>
  <si>
    <t>G02AB01</t>
  </si>
  <si>
    <t>Metylergometrin</t>
  </si>
  <si>
    <t>G02AD02</t>
  </si>
  <si>
    <t>Dinoproston</t>
  </si>
  <si>
    <t>Gel</t>
  </si>
  <si>
    <t>Tablett</t>
  </si>
  <si>
    <t>G02AD04</t>
  </si>
  <si>
    <t>Karboprost</t>
  </si>
  <si>
    <t>G04BX</t>
  </si>
  <si>
    <t>Hyaluronsyre</t>
  </si>
  <si>
    <t>H02AB01</t>
  </si>
  <si>
    <t>Betametason</t>
  </si>
  <si>
    <t>H02AB04</t>
  </si>
  <si>
    <t>Metylprednisolon</t>
  </si>
  <si>
    <t>H02AB06</t>
  </si>
  <si>
    <t>Prednisolon</t>
  </si>
  <si>
    <t>Oppløselig</t>
  </si>
  <si>
    <t>H02AB09</t>
  </si>
  <si>
    <t>Hydrokortison</t>
  </si>
  <si>
    <t>H03AA01</t>
  </si>
  <si>
    <t>Levotyroksin</t>
  </si>
  <si>
    <t>J01AA02</t>
  </si>
  <si>
    <t>Doksysyklin</t>
  </si>
  <si>
    <t>J01BA01</t>
  </si>
  <si>
    <t>Kloramfenikol</t>
  </si>
  <si>
    <t>J01CE08</t>
  </si>
  <si>
    <t>Benzylpenicillinbenzatin</t>
  </si>
  <si>
    <t>Med lidokain</t>
  </si>
  <si>
    <t>J01EE01</t>
  </si>
  <si>
    <t>Trimetoprim, Sulfametoksazol</t>
  </si>
  <si>
    <t>J01EE01 Sulfametoksazol, Trimetoprim</t>
  </si>
  <si>
    <t>J01FA10</t>
  </si>
  <si>
    <t>Azitromycin</t>
  </si>
  <si>
    <t>J01GB03</t>
  </si>
  <si>
    <t>Gentamicin</t>
  </si>
  <si>
    <t>Implantat/instillasjon</t>
  </si>
  <si>
    <t>Til barn</t>
  </si>
  <si>
    <t>J01GB06</t>
  </si>
  <si>
    <t>Amikacin</t>
  </si>
  <si>
    <t>J01MA12</t>
  </si>
  <si>
    <t>Levofloksacin</t>
  </si>
  <si>
    <t>J04AB01</t>
  </si>
  <si>
    <t>Sykloserin</t>
  </si>
  <si>
    <t>J04AB02</t>
  </si>
  <si>
    <t>Rifampicin</t>
  </si>
  <si>
    <t>J05AB12</t>
  </si>
  <si>
    <t>Sidofovir</t>
  </si>
  <si>
    <t>J05AD01</t>
  </si>
  <si>
    <t>Foskarnet</t>
  </si>
  <si>
    <t>J05AF01</t>
  </si>
  <si>
    <t>Zidovudin</t>
  </si>
  <si>
    <t>J07BK03</t>
  </si>
  <si>
    <t>Varicella zoster-virus glykoprotein E antigen, rekombinant</t>
  </si>
  <si>
    <t>L04AA03</t>
  </si>
  <si>
    <t>Immunglobulin anti</t>
  </si>
  <si>
    <t>L04AA04</t>
  </si>
  <si>
    <t>M01AE01</t>
  </si>
  <si>
    <t>Ibuprofen</t>
  </si>
  <si>
    <t>Rektal</t>
  </si>
  <si>
    <t>M03AC03</t>
  </si>
  <si>
    <t>Vekuronium</t>
  </si>
  <si>
    <t>M04AA03</t>
  </si>
  <si>
    <t>Febuksostat</t>
  </si>
  <si>
    <t>Lavdose</t>
  </si>
  <si>
    <t>N01AX10</t>
  </si>
  <si>
    <t>Propofol</t>
  </si>
  <si>
    <t>Ferdigfylte sprøyter</t>
  </si>
  <si>
    <t>N01BA04</t>
  </si>
  <si>
    <t>Klorprokain</t>
  </si>
  <si>
    <t>N01BB02</t>
  </si>
  <si>
    <t>Lidokain</t>
  </si>
  <si>
    <t>Viskøs</t>
  </si>
  <si>
    <t>Oral pasta/gel/væske/tyggegummi</t>
  </si>
  <si>
    <t>N01BB03</t>
  </si>
  <si>
    <t>Mepivakain</t>
  </si>
  <si>
    <t>N01BB52</t>
  </si>
  <si>
    <t>Lidokain, adrenalin</t>
  </si>
  <si>
    <t>N02AA01</t>
  </si>
  <si>
    <t>Morfin</t>
  </si>
  <si>
    <t>Epidural høydose</t>
  </si>
  <si>
    <t>N02AB02</t>
  </si>
  <si>
    <t>Petidin</t>
  </si>
  <si>
    <t>N02BA01</t>
  </si>
  <si>
    <t>Acetylsalisylsyre</t>
  </si>
  <si>
    <t>Oppløselige tabletter</t>
  </si>
  <si>
    <t>N02BE01</t>
  </si>
  <si>
    <t>Paracetamol</t>
  </si>
  <si>
    <t>For pasienter med behov for lite volum</t>
  </si>
  <si>
    <t>N02BG10</t>
  </si>
  <si>
    <t>Cannabisekstrakt tilsvarende cannabidiol</t>
  </si>
  <si>
    <t>Inhalasjon</t>
  </si>
  <si>
    <t>N02CX02</t>
  </si>
  <si>
    <t>N03AA02</t>
  </si>
  <si>
    <t>Fenobarbital</t>
  </si>
  <si>
    <t>N03AE01</t>
  </si>
  <si>
    <t>Klonazepam</t>
  </si>
  <si>
    <t>N03AX12</t>
  </si>
  <si>
    <t>Gabapentin</t>
  </si>
  <si>
    <t>N05AA01</t>
  </si>
  <si>
    <t>Klorpromazin</t>
  </si>
  <si>
    <t>N05AA02</t>
  </si>
  <si>
    <t>Levomepromazin</t>
  </si>
  <si>
    <t>Lav styrke</t>
  </si>
  <si>
    <t>N05AB03</t>
  </si>
  <si>
    <t>Perfenazin</t>
  </si>
  <si>
    <t>N05AX13</t>
  </si>
  <si>
    <t>Paliperidon</t>
  </si>
  <si>
    <t>Lav dose</t>
  </si>
  <si>
    <t>N05BA06</t>
  </si>
  <si>
    <t>Lorazepam</t>
  </si>
  <si>
    <t>Smeltetablett</t>
  </si>
  <si>
    <t>N05CD02</t>
  </si>
  <si>
    <t>Nitrazepam</t>
  </si>
  <si>
    <t>N05CD08</t>
  </si>
  <si>
    <t>Midazolam</t>
  </si>
  <si>
    <t>Sykehus, flaske til peroral bruk</t>
  </si>
  <si>
    <t>N06BA02</t>
  </si>
  <si>
    <t>Deksamfetamin</t>
  </si>
  <si>
    <t>Langtidsvirkende</t>
  </si>
  <si>
    <t>N06BC01</t>
  </si>
  <si>
    <t>Koffein</t>
  </si>
  <si>
    <t>Bruksferdig til oral bruk</t>
  </si>
  <si>
    <t>N07XX02</t>
  </si>
  <si>
    <t>Riluzol</t>
  </si>
  <si>
    <t>P01AB06</t>
  </si>
  <si>
    <t>Nimorazol</t>
  </si>
  <si>
    <t>P01AX11</t>
  </si>
  <si>
    <t>Nitazoksanid</t>
  </si>
  <si>
    <t>P01BA03</t>
  </si>
  <si>
    <t>Primakin</t>
  </si>
  <si>
    <t>P01BE03</t>
  </si>
  <si>
    <t>Artesunat</t>
  </si>
  <si>
    <t>P01CX01</t>
  </si>
  <si>
    <t>Pentamidindiisetionat</t>
  </si>
  <si>
    <t>P01CX04</t>
  </si>
  <si>
    <t>Miltefosin</t>
  </si>
  <si>
    <t>P02BA01</t>
  </si>
  <si>
    <t>Prazikvantel</t>
  </si>
  <si>
    <t>R01AX06</t>
  </si>
  <si>
    <t>Mupirocin</t>
  </si>
  <si>
    <t>Nasal</t>
  </si>
  <si>
    <t>R03AA01</t>
  </si>
  <si>
    <t>Adrenalin</t>
  </si>
  <si>
    <t>R06AB02</t>
  </si>
  <si>
    <t>Deksklorfeniramin</t>
  </si>
  <si>
    <t>R06AD02</t>
  </si>
  <si>
    <t>Prometazin</t>
  </si>
  <si>
    <t>R06AE03</t>
  </si>
  <si>
    <t>Syklizin</t>
  </si>
  <si>
    <t>S01AX18</t>
  </si>
  <si>
    <t>Okulær</t>
  </si>
  <si>
    <t>Dråper</t>
  </si>
  <si>
    <t>Oppløsning</t>
  </si>
  <si>
    <t>S01EA03</t>
  </si>
  <si>
    <t>Apraklonidin</t>
  </si>
  <si>
    <t>Endoser</t>
  </si>
  <si>
    <t>Okulær, endoser</t>
  </si>
  <si>
    <t>S01EB09</t>
  </si>
  <si>
    <t>Acetylkolin</t>
  </si>
  <si>
    <t>Intraokkular oppløsning</t>
  </si>
  <si>
    <t>S01EC01</t>
  </si>
  <si>
    <t>Acetazolamid</t>
  </si>
  <si>
    <t>S01EC02</t>
  </si>
  <si>
    <t>Diklofenamid</t>
  </si>
  <si>
    <t>S01FA54</t>
  </si>
  <si>
    <t>Fenylefrin, syklopentolat</t>
  </si>
  <si>
    <t>S01HA04</t>
  </si>
  <si>
    <t>Proksymetakain</t>
  </si>
  <si>
    <t>S01JA51</t>
  </si>
  <si>
    <t>Fluorescein, lidokain</t>
  </si>
  <si>
    <t>S01XA20</t>
  </si>
  <si>
    <t>Hydroksypropylmetylcellulose</t>
  </si>
  <si>
    <t>V01AA03</t>
  </si>
  <si>
    <t>Allergen av dermatophagoides farinae, Allergen av dermatophagoides pteronyssinus</t>
  </si>
  <si>
    <t>Allergen av Dermatophagoides pteronyssinus</t>
  </si>
  <si>
    <t>V01AA11</t>
  </si>
  <si>
    <t>Allergen av hundehår</t>
  </si>
  <si>
    <t>Allergen av kattehår</t>
  </si>
  <si>
    <t>V03AB13</t>
  </si>
  <si>
    <t>Obidoksimklorid</t>
  </si>
  <si>
    <t>V03AB16</t>
  </si>
  <si>
    <t>Etanol</t>
  </si>
  <si>
    <t>V03AG05</t>
  </si>
  <si>
    <t>Dinatriumfosfat</t>
  </si>
  <si>
    <t>V04CD04</t>
  </si>
  <si>
    <t>Kortikorelin</t>
  </si>
  <si>
    <t>V04CH02</t>
  </si>
  <si>
    <t>Indigokarmin</t>
  </si>
  <si>
    <t>V04CL</t>
  </si>
  <si>
    <t>Allergen av burot</t>
  </si>
  <si>
    <t>Løsningsmiddel/reagens/skyllevæske</t>
  </si>
  <si>
    <t>Prikktest</t>
  </si>
  <si>
    <t>Allergen av gjærsopp, cladosporium herbarum</t>
  </si>
  <si>
    <t>Allergen av husstøvmidd, dermatophagoides farinae</t>
  </si>
  <si>
    <t>Allergen av hvetemel</t>
  </si>
  <si>
    <t>Allergen av kumelk, rå</t>
  </si>
  <si>
    <t>Allergen av mandel</t>
  </si>
  <si>
    <t>Allergen av peanøtt</t>
  </si>
  <si>
    <t>Allergen av soyabønne</t>
  </si>
  <si>
    <t>Allergen av torsk</t>
  </si>
  <si>
    <t>Allergen av vepsegift</t>
  </si>
  <si>
    <t>Diverse allergener (31 stk)</t>
  </si>
  <si>
    <t>Diverse allergener (36 stk)</t>
  </si>
  <si>
    <t>V04CX01</t>
  </si>
  <si>
    <t>Indocyaningrønn</t>
  </si>
  <si>
    <t>V04CX03</t>
  </si>
  <si>
    <t>Metakolin</t>
  </si>
  <si>
    <t>V04CX09</t>
  </si>
  <si>
    <t>Patentblå V</t>
  </si>
  <si>
    <t>V07AY</t>
  </si>
  <si>
    <t>Natrium bikarbonat, sitronsyre, simetikon</t>
  </si>
  <si>
    <r>
      <t>4.</t>
    </r>
    <r>
      <rPr>
        <b/>
        <sz val="7"/>
        <rFont val="Times New Roman"/>
        <family val="1"/>
      </rPr>
      <t xml:space="preserve">    </t>
    </r>
    <r>
      <rPr>
        <b/>
        <sz val="16"/>
        <rFont val="Calibri"/>
        <family val="2"/>
        <scheme val="minor"/>
      </rPr>
      <t>Krav til leverandøren</t>
    </r>
  </si>
  <si>
    <t>NB: Det må leveres én besvarelse per leverandør</t>
  </si>
  <si>
    <r>
      <t>Tildlingskriterier/</t>
    </r>
    <r>
      <rPr>
        <sz val="11"/>
        <color rgb="FFFFFFFF"/>
        <rFont val="Calibri"/>
        <family val="2"/>
        <scheme val="minor"/>
      </rPr>
      <t>underkriterier</t>
    </r>
  </si>
  <si>
    <t>Vekting</t>
  </si>
  <si>
    <t>SUM VEKTING &lt;&gt; 100% (FEILMELDING FJERNES NÅR LISTE = 100%) OPPDATER I EGET ARK!</t>
  </si>
  <si>
    <t>Informasjon om leverandør:</t>
  </si>
  <si>
    <t>Leverandørnavn:</t>
  </si>
  <si>
    <t>Kontaktperson for forsyningssikkerhet:</t>
  </si>
  <si>
    <t>E-postadresse ved leveringssvikt:</t>
  </si>
  <si>
    <t>Telefonnummer ved leveringssvikt:</t>
  </si>
  <si>
    <t>E-postadresse til logistikkavdeling:</t>
  </si>
  <si>
    <t>Oppdragsgivers kravspesifikasjon</t>
  </si>
  <si>
    <t>Tilbyderens besvarelse</t>
  </si>
  <si>
    <t>Anskaffelse</t>
  </si>
  <si>
    <t>Ref.</t>
  </si>
  <si>
    <t>Kravsett</t>
  </si>
  <si>
    <t>Overskrift for krav</t>
  </si>
  <si>
    <t>Beskrivelse av krav</t>
  </si>
  <si>
    <t>Krav-
type</t>
  </si>
  <si>
    <t>Tildelingskriterier</t>
  </si>
  <si>
    <t>Utfyllende informasjon til tilbyder</t>
  </si>
  <si>
    <t>Velg svaralternativ i listen</t>
  </si>
  <si>
    <t>Utfyllende besvarelse</t>
  </si>
  <si>
    <t>Evt. lenke eller henvisning til vedlegg</t>
  </si>
  <si>
    <t>4.01</t>
  </si>
  <si>
    <t>Leverandør</t>
  </si>
  <si>
    <t>Leveringssikkerhet</t>
  </si>
  <si>
    <t>Leverandøren forplikter seg til å opprette og forvalte 90 dager sikkerhetslager i EU/EØS av tilbudte produkter. Sikkerhetslageret skal være avsatt til det norske markedet.</t>
  </si>
  <si>
    <t>S</t>
  </si>
  <si>
    <t>Kontraktskrav til forvaltning av sikkerhetslager fremgår av rammeavtalen punkt 7.6.2.</t>
  </si>
  <si>
    <t>4.02</t>
  </si>
  <si>
    <t>Sykehusinnkjøp skal kunne revidere sikkerhetslager, fastsatt i krav 4.01, senest en måned før avtalestart. Ved varer med høyere beredskap enn 1 måned ved avtalestart skal man kunne fremvise en produksjonsplan senest 3 måneder før avtaleoppstart for nødvendig lageroppbygging. Dette kravet gjelder kun ny anbudsvinner, da eksisterende avtaleleverandør allerede har varer hos grossist og apotek/HF.</t>
  </si>
  <si>
    <t>30 dagers sikkerhetslager er inkludert.</t>
  </si>
  <si>
    <r>
      <t>5.</t>
    </r>
    <r>
      <rPr>
        <b/>
        <sz val="7"/>
        <rFont val="Times New Roman"/>
        <family val="1"/>
      </rPr>
      <t xml:space="preserve">    </t>
    </r>
    <r>
      <rPr>
        <b/>
        <sz val="16"/>
        <rFont val="Calibri"/>
        <family val="2"/>
        <scheme val="minor"/>
      </rPr>
      <t>Krav til produktene</t>
    </r>
  </si>
  <si>
    <t>Informasjon om tilbudt produkt/produkter:</t>
  </si>
  <si>
    <t>Delleveranse (som angitt i ark 3)</t>
  </si>
  <si>
    <t>Undergruppe</t>
  </si>
  <si>
    <t>Bruksområde</t>
  </si>
  <si>
    <r>
      <t>Produktnavn og varenummer(som angitt i prisskjema,</t>
    </r>
    <r>
      <rPr>
        <b/>
        <sz val="14"/>
        <color rgb="FFFF0000"/>
        <rFont val="Calibri"/>
        <family val="2"/>
        <scheme val="minor"/>
      </rPr>
      <t xml:space="preserve"> </t>
    </r>
    <r>
      <rPr>
        <b/>
        <sz val="14"/>
        <color theme="1"/>
        <rFont val="Calibri"/>
        <family val="2"/>
        <scheme val="minor"/>
      </rPr>
      <t>sett evt. inn flere linjer i rad 34</t>
    </r>
    <r>
      <rPr>
        <b/>
        <sz val="14"/>
        <rFont val="Calibri"/>
        <family val="2"/>
        <scheme val="minor"/>
      </rPr>
      <t>)</t>
    </r>
  </si>
  <si>
    <t>Varenr</t>
  </si>
  <si>
    <t>Varenavn</t>
  </si>
  <si>
    <t>Kravetikett</t>
  </si>
  <si>
    <t>Velg svaralternativ i listen hvis mulig</t>
  </si>
  <si>
    <t>5.01</t>
  </si>
  <si>
    <t>Prissetting</t>
  </si>
  <si>
    <t xml:space="preserve">Tilbudt pris skal angis i prisskjema per salgsenhet (varelinje/varenummer). </t>
  </si>
  <si>
    <t xml:space="preserve">Se vedlegg 03 prisskjema, arkfane veiledning for riktig utfylling, og vedlegg 04 Bilag 04 administrative bestemmelser for beskrivelse av hvordan man registrerer varenummer i vareregisteret før avtalestart. </t>
  </si>
  <si>
    <t>5.02</t>
  </si>
  <si>
    <t xml:space="preserve">For produkter som har fått fastsatt en øvre innkjøpspris til bruk i spesialisthelsetjenesten gjennom positiv beslutning i Beslutningsforum for nye metoder, vil denne prisen utgjøre effektivt priskrav for spesialisthelsetjenesten. </t>
  </si>
  <si>
    <t>5.03</t>
  </si>
  <si>
    <t>Markedsføringstillatelse (MT)</t>
  </si>
  <si>
    <t xml:space="preserve">Tilbudt produkt skal ha godkjent markedsføringstillatelse i EU/EØS. </t>
  </si>
  <si>
    <t>Oppgi MT-land og MT-nr i EU/EØS</t>
  </si>
  <si>
    <t>Estland</t>
  </si>
  <si>
    <t>5.04</t>
  </si>
  <si>
    <t>Opplæring og informasjon</t>
  </si>
  <si>
    <t xml:space="preserve">Godkjent SPC i søkbart format (ikke bildefil) skal være lastet opp i PharmaWeb innen tilbudsfrist, alternativt pakningsvedlegg der alle nødvendige opplysninger fremkommer.  </t>
  </si>
  <si>
    <t xml:space="preserve">Oppgi evt. lenke til SPC. </t>
  </si>
  <si>
    <t>5.05</t>
  </si>
  <si>
    <t>Merking</t>
  </si>
  <si>
    <t>Tilbudt produkt skal ha latinske bokstaver på inner- og ytteremballasje.</t>
  </si>
  <si>
    <t xml:space="preserve">Bilde av inner- og ytteremballasje lastes opp i PharmaWeb. Dersom bilde av emballasje ikke foreligger ved tilbudsfrist vurderes dette på bakgrunn av den dokumentasjon og eventuelt erfaring som foreligger. </t>
  </si>
  <si>
    <t>5.06</t>
  </si>
  <si>
    <t>Likeverdighet</t>
  </si>
  <si>
    <t xml:space="preserve">Tilbyder skal inngi dokumentasjon for at tilbudt produkt er likeverdig med produkter som er angitt i Vedlegg 02 Kravspesifikasjon, arkfane 3 anskaffelsen og/eller Vedlegg 03 prisskjema. </t>
  </si>
  <si>
    <t>Likeverdighet vil bli vurdert i hvert enkelt tilfelle ut fra pakningsstørrelse, styrke, sortiment (ut fra hvilke styrker og pakninger det er forbruk av i spesialisthelsetjenesten), formulering  (inkludert innhold av hjelpestoffer som alkohol, sukker, propylenglykol for miksturer), inneremballasje, stabilitetsdata og administrasjonsform. Oppdragsgiver vil avvise tilbud der hvor likeverdighet ikke vurderes å foreligge etter en helhetsvurdering. Sammensetning av mikstur for eventuell bruk til barn vurderes i henhold til anbefalinger gitt av Neonatal &amp; Paediatric Pharmacists Group, Newsletter No 61, 2016:
 http://nppg.org.uk/wp-content/uploads/2019/12/NPPG-61-amended.pdf.</t>
  </si>
  <si>
    <t>5.07</t>
  </si>
  <si>
    <t>Leveringssikkerhet på produktnivå</t>
  </si>
  <si>
    <t>Leverandør skal her informere om hvor lang tid før avtalestart levering kan starte for varer med beredskap i B180 eller G2021, i henhold til leverandørens produksjonsplan. Dette kravet gjelder kun ny anbudsvinner, da eksisterende avtaleleverandør allerede har varer hos grossist og apotek/HF.</t>
  </si>
  <si>
    <t xml:space="preserve">Angi antall dager før avtalestart som levering kan starte. </t>
  </si>
  <si>
    <t>5.08</t>
  </si>
  <si>
    <t>Tilbudt produkt bør ha ytteremballasje som er merket med GTIN i henhold til  GS1-standard.</t>
  </si>
  <si>
    <t>B</t>
  </si>
  <si>
    <t>PP</t>
  </si>
  <si>
    <t>Besvares i Prisskjema. Leverandør fyller inn selv når det ikke er forhåndsutfylt (ett skjema totalt) 
Lenker til retningslinjer GTIN og GS1: https://www.gs1.org/docs/barcodes/GS1_DataMatrix_Guideline.pdf og https://www.gs1.org/docs/gsmp/healthcare/GS1_Healthcare_GTIN_Allocation_Rules.pdf</t>
  </si>
  <si>
    <t>Besvares i prisskjema</t>
  </si>
  <si>
    <t>5.09</t>
  </si>
  <si>
    <t>Tilbudt produkt bør ha dansk, svensk eller engelsk pakning. Sekundært tysk språk.</t>
  </si>
  <si>
    <t xml:space="preserve">Angi språk på pakning  og pakningsvedlegg. </t>
  </si>
  <si>
    <t>5.10</t>
  </si>
  <si>
    <t>Tilbudt produkt bør ha dansk, svensk eller engelsk SPC. Sekundært tysk språk.</t>
  </si>
  <si>
    <t xml:space="preserve">Angi språk på SPC. </t>
  </si>
  <si>
    <t>5.11</t>
  </si>
  <si>
    <t>Leverandøren bør ha inntil 6 mnd sikkerhetslager beregnet på det norske markedet av tilbudte produkter.</t>
  </si>
  <si>
    <t>LP1</t>
  </si>
  <si>
    <t xml:space="preserve">Angi antall dager sikkerhetslager som kommer i tillegg til skal-krav 4.1. Angi om det ikke gjelder alle produkter. </t>
  </si>
  <si>
    <t>5.12</t>
  </si>
  <si>
    <t>Tilbudt produkt bør selges i Danmark, Sverige, Finland, Tyskland, Spania og/eller Frankrike.</t>
  </si>
  <si>
    <t>LP2</t>
  </si>
  <si>
    <t>Angi hvor mange av de seks angitte landene produktet selges i.</t>
  </si>
  <si>
    <t>5.13</t>
  </si>
  <si>
    <t>Tilbudt produkt bør ha inneremballasje som er merket med GTIN i henhold til  GS1-standard.</t>
  </si>
  <si>
    <t xml:space="preserve">Besvares i Prisskjema. Leverandør fyller inn selv når det ikke er forhåndsutfylt (ett skjema totalt) </t>
  </si>
  <si>
    <t>5.14</t>
  </si>
  <si>
    <t>Tilbudt produkt bør ha tydelig merking på inneremballasje med administrasjonsform, innhold, styrkebetegnelse i mg/1ml og fargekoder for forskjellige styrker. Videre bør tilbudt produkt ha en etikett for lesbarhet, framfor skrift trykket rett på gjennomsiktig bakgrunn.</t>
  </si>
  <si>
    <t>Vurderes ut fra bilder av inneremballasje som lastes opp i PharmaWeb.</t>
  </si>
  <si>
    <t>5.15</t>
  </si>
  <si>
    <t>Stabilitet</t>
  </si>
  <si>
    <t>Tilbudt produkt bør ha dokumentert kjemisk holdbarhet etter utblanding inntil 7 dager.</t>
  </si>
  <si>
    <t>Vurderes ut fra godkjent SPC eller stabilitetsdata lastet opp i PharmaWeb</t>
  </si>
  <si>
    <t>5.16</t>
  </si>
  <si>
    <t>Sortiment</t>
  </si>
  <si>
    <t>Tilbudt produkt bør leveres med integrert oppheng.</t>
  </si>
  <si>
    <t xml:space="preserve">Beskriv type oppheng (plassering/utforming). </t>
  </si>
  <si>
    <t>5.17</t>
  </si>
  <si>
    <t xml:space="preserve">Tilbudt produkt bør ikke inneholde fenazon da dette ikke er egnet for intratekal bruk. </t>
  </si>
  <si>
    <t xml:space="preserve">Vurderes ut fra tilbyders besvarelse (godkjent SPC). </t>
  </si>
  <si>
    <t>5.18</t>
  </si>
  <si>
    <t>Tilbudt produkt bør inneholde 40 mg/ml og 1 ml for  å være egnet til IM bruk</t>
  </si>
  <si>
    <t>5.19</t>
  </si>
  <si>
    <t xml:space="preserve">Tilbudt produkt skal ha ytter- og inneremballasje merket med to separate virkestoff og styrker (sufometotaksazol og trimetoprim), og ikke være merket som ett virkestoff og én styrke. </t>
  </si>
  <si>
    <t>5.20</t>
  </si>
  <si>
    <t>Tilbudt produkt bør ha inneremballasje som best mulig ivaretar pasientsikkerheten. Endoser med identifiserbar strekkode for minste enhet gir best pasientsikkerhet, endoser uten strekkode nest best, vanlig blisterbrett gir mindre pasientsikkerhet og boks gir minst.</t>
  </si>
  <si>
    <t>Angi emballasjetype for inneremballasje.</t>
  </si>
  <si>
    <t>5.21</t>
  </si>
  <si>
    <t>Tilbudt produkt bør ha styrkebetegnelse i mg/1ml.</t>
  </si>
  <si>
    <t xml:space="preserve">Vurderes ut fra bilde av ytteremballasje lastet opp i PharmaWeb. Dersom bilde av emballasje ikke foreligger ved tilbudsfrist vurderes dette på bakgrunn av den dokumentasjon og eventuelt erfaring som foreligger. </t>
  </si>
  <si>
    <t>5.22</t>
  </si>
  <si>
    <t>5.23</t>
  </si>
  <si>
    <t>Tilbudt produkt bør ha tydelig merking med innhold, samt styrkebetegnelse i mg/1ml. Både inner- og ytteremballasje blir vurdert.</t>
  </si>
  <si>
    <t xml:space="preserve">Vurderes ut fra bilde av inner- og ytteremballasje lastet opp i PharmaWeb. Dersom bilde av emballasje ikke foreligger ved tilbudsfrist vurderes dette på bakgrunn av den dokumentasjon og eventuelt erfaring som foreligger. </t>
  </si>
  <si>
    <t>5.24</t>
  </si>
  <si>
    <t xml:space="preserve">Tilbudt produkt skal være i endosepakning (ampuller til engangsbruk). </t>
  </si>
  <si>
    <t xml:space="preserve">Bilde av inneremballasje lastes opp i PharmaWeb. Dersom bilde av inneremballasje ikke foreligger ved tilbudsfrist vurderes dette på bakgrunn av den dokumentasjon og eventuelt erfaring som foreligger. </t>
  </si>
  <si>
    <t>5.25</t>
  </si>
  <si>
    <t>Tilbudt produkt bør ha inneremballasje, som er merket med GTIN i henhold til  GS1-standard.</t>
  </si>
  <si>
    <t>5.26</t>
  </si>
  <si>
    <t>Tilbyders tilbudte sortiment skal inkludere tabletter 75 mcg</t>
  </si>
  <si>
    <t>5.27</t>
  </si>
  <si>
    <t xml:space="preserve">Tilbyders tilbudte sortiment bør inkludere tabletter 150 mcg </t>
  </si>
  <si>
    <t>5.28</t>
  </si>
  <si>
    <t xml:space="preserve">Tilbudt produkt bør ha tilhørende pumpe som kan bestilles ved behov. </t>
  </si>
  <si>
    <t xml:space="preserve">Angi hvordan tilhørende pumpe kan bestilles. </t>
  </si>
  <si>
    <t>5.29</t>
  </si>
  <si>
    <t xml:space="preserve">Tilbudt produkt skal inneholde glyserol eller annen ingrediens som forebygger tørr hud. </t>
  </si>
  <si>
    <t>Beskrivelse for ferdigstillelse av kravspesifikasjon</t>
  </si>
  <si>
    <t>SJEKKLISTE:</t>
  </si>
  <si>
    <t>TIPS OG TRIKS:</t>
  </si>
  <si>
    <t xml:space="preserve">Tabell med dokumentinfo fylles inn av prosjekt/fagrådgiver. Cellene skal være definert i excels navnebehandling. </t>
  </si>
  <si>
    <t>Nummerering av krav. Gjør ferdig krav først, kategoriser innen kravetikett. Lag nummer som tekst. Bruk apostrof ' først for eksempel: '5.01 '5.02 . Da kan liste trekkes og nummereres auto.</t>
  </si>
  <si>
    <t>(Passord til evt låste ark: 'excel')</t>
  </si>
  <si>
    <t>A - Fyll inn Anskaffelseskode, Anskaffelsesnavn, Dokumentnummer, Dokumentnav (kun i denne arkfanen 'Lister')</t>
  </si>
  <si>
    <t>Anskaffelseskode</t>
  </si>
  <si>
    <t>2301d</t>
  </si>
  <si>
    <t>Eks: 2201h</t>
  </si>
  <si>
    <t>Tabeller er excel-tabeller. Legg til/fjern rader på "rett" måte.</t>
  </si>
  <si>
    <t>Anskaffelsesnavn</t>
  </si>
  <si>
    <t>Uregistrerte legemidler</t>
  </si>
  <si>
    <t>Eks: Klorheksidin</t>
  </si>
  <si>
    <t>B - Filnavn - Anskaffelsesnavn, Nummer, Leverandør annet?</t>
  </si>
  <si>
    <t>Dokumentnummer</t>
  </si>
  <si>
    <t>02</t>
  </si>
  <si>
    <t>Eks: 02.1</t>
  </si>
  <si>
    <t>HUSK - man kan alltids overskrive og avvike fra malen dersom det er nødvendig, eller man finner tekniske feil.</t>
  </si>
  <si>
    <t>(B2 - Arkfane 2 bør leses igjennom og godkjennes)</t>
  </si>
  <si>
    <t>Dokumentnavn (navn på kravspek)</t>
  </si>
  <si>
    <t>Eks: klorheksidin biocid</t>
  </si>
  <si>
    <t>C - Vektingsprosenter/tildelingskriterier settes i denne arkfanen('Lister') kolonne J, 'Vektingsprosent'. Arkfane 5 oppdateres da med farge automatisk og valideres for 100%.</t>
  </si>
  <si>
    <r>
      <t xml:space="preserve">Informasjonen over vil tilsvare det som </t>
    </r>
    <r>
      <rPr>
        <b/>
        <sz val="14"/>
        <color theme="1"/>
        <rFont val="Calibri"/>
        <family val="2"/>
        <scheme val="minor"/>
      </rPr>
      <t>også bør ligge i filnavn</t>
    </r>
    <r>
      <rPr>
        <sz val="11"/>
        <color theme="1"/>
        <rFont val="Calibri"/>
        <family val="2"/>
        <scheme val="minor"/>
      </rPr>
      <t>.</t>
    </r>
  </si>
  <si>
    <t>Eksempel filnavn: '[anskaffelse] [doknummer] [doknavn] [leverandørnavn].xlsx​'</t>
  </si>
  <si>
    <r>
      <t>OBS - Denne informasjonen</t>
    </r>
    <r>
      <rPr>
        <i/>
        <sz val="11"/>
        <color theme="1"/>
        <rFont val="Calibri"/>
        <family val="2"/>
        <scheme val="minor"/>
      </rPr>
      <t xml:space="preserve"> kan</t>
    </r>
    <r>
      <rPr>
        <sz val="11"/>
        <color theme="1"/>
        <rFont val="Calibri"/>
        <family val="2"/>
        <scheme val="minor"/>
      </rPr>
      <t xml:space="preserve"> brukes for maskinell håndtering av filer(innlast/sammenslåing etc), men påvirker ikke dataene på andre måter.</t>
    </r>
  </si>
  <si>
    <t>D - Kravtabell Produkt/delleveranse</t>
  </si>
  <si>
    <t>Navn på kravspesifikasjon kan være det samme som anskaffelsesnavn hvis det kun er én kravspek i anskaffelsen</t>
  </si>
  <si>
    <t>E - Delleveranser Arkfane 3 'Anskaffelsen' må være utfylt riktig. (Kravsett listemenyer populeres automatisk)</t>
  </si>
  <si>
    <t>F - Kravtabell Leverandør - Krav utarbeides og fylles inn riktig…</t>
  </si>
  <si>
    <t>OM TABELLEN MED LISTER (denne arkfanen)</t>
  </si>
  <si>
    <r>
      <t>Det kan</t>
    </r>
    <r>
      <rPr>
        <sz val="11"/>
        <color theme="8" tint="-0.249977111117893"/>
        <rFont val="Calibri"/>
        <family val="2"/>
        <scheme val="minor"/>
      </rPr>
      <t xml:space="preserve"> legges til flere kolonner</t>
    </r>
    <r>
      <rPr>
        <sz val="11"/>
        <color theme="1"/>
        <rFont val="Calibri"/>
        <family val="2"/>
        <scheme val="minor"/>
      </rPr>
      <t xml:space="preserve"> i tabellen når det er behov for andre svaralternativer for utarbeidete krav. </t>
    </r>
  </si>
  <si>
    <t>G - GJØR QA. Sjekk for banale feil i formatering ol. Test utfylling.</t>
  </si>
  <si>
    <r>
      <t xml:space="preserve">Man kan </t>
    </r>
    <r>
      <rPr>
        <sz val="11"/>
        <color theme="8" tint="-0.249977111117893"/>
        <rFont val="Calibri"/>
        <family val="2"/>
        <scheme val="minor"/>
      </rPr>
      <t>slette eller legge til alternativer i listene som allerede foreligger</t>
    </r>
    <r>
      <rPr>
        <sz val="11"/>
        <color theme="1"/>
        <rFont val="Calibri"/>
        <family val="2"/>
        <scheme val="minor"/>
      </rPr>
      <t xml:space="preserve"> ved behov for justering. </t>
    </r>
  </si>
  <si>
    <t>Kobling til den riktige listen i tabellen gjøres ved bruk av funksjonen 'datavalidering', eller ved å kopiere en celle som har riktige svaralternativer fra før.</t>
  </si>
  <si>
    <t>H - SKJUL ARKFANE 'LISTER' (bør gjøres før utlysning)</t>
  </si>
  <si>
    <t>Bruk hjelpefunksjonen i excel eller spør en venn hvis man lurer på 'datavalidering'.</t>
  </si>
  <si>
    <t>I - Teknisk sjekk - Er informasjon i riktig tabellstruktur, tabellstørrelser, navnedefinisjoner osv</t>
  </si>
  <si>
    <t>OM TILDELINGSKRITERIER</t>
  </si>
  <si>
    <r>
      <t xml:space="preserve">Tildelingskriterier: </t>
    </r>
    <r>
      <rPr>
        <sz val="11"/>
        <color theme="8" tint="-0.249977111117893"/>
        <rFont val="Calibri"/>
        <family val="2"/>
        <scheme val="minor"/>
      </rPr>
      <t>Fyll ut riktig vektingsprosent i tabellen, og skjul evt. rader i arkfane 4 og 5 der det velges 0%</t>
    </r>
    <r>
      <rPr>
        <sz val="11"/>
        <color theme="1"/>
        <rFont val="Calibri"/>
        <family val="2"/>
        <scheme val="minor"/>
      </rPr>
      <t xml:space="preserve"> . </t>
    </r>
  </si>
  <si>
    <t>J - Synliggjør formatering av kravtabeller(hvis ønsket) (manuelt endre tekst fra NEI til JA i cellen under før ferdigstillelse):</t>
  </si>
  <si>
    <t xml:space="preserve">Dersom det legges inn flere tildelingskriterier, må arkfane 4 og 5 oppdateres for en riktig framstilling. </t>
  </si>
  <si>
    <r>
      <t xml:space="preserve">Vektingsprosent: </t>
    </r>
    <r>
      <rPr>
        <sz val="11"/>
        <color theme="8" tint="-0.249977111117893"/>
        <rFont val="Calibri"/>
        <family val="2"/>
        <scheme val="minor"/>
      </rPr>
      <t xml:space="preserve">Kontroller at det er 100% tilsammen </t>
    </r>
    <r>
      <rPr>
        <sz val="11"/>
        <color theme="1"/>
        <rFont val="Calibri"/>
        <family val="2"/>
        <scheme val="minor"/>
      </rPr>
      <t>(ligger også autovalidering i 4&amp;5)</t>
    </r>
  </si>
  <si>
    <t>(toggles kravtab formatering av/på)</t>
  </si>
  <si>
    <t xml:space="preserve">Farger som er benyttet kan finnes fram til f.eks ved å velge 'flere farger'  i malingsbøtta mens man står i en riktig farget celle. Trykk OK for å velge samme farge. </t>
  </si>
  <si>
    <t>Er lagt inn automatisk fargeformatering på tildelingskriterier. (Dette ligger under 'Betinget formatering'-knapp)</t>
  </si>
  <si>
    <t>OM MALEN</t>
  </si>
  <si>
    <t>Legg inn delleveranser som omfattes av kravspesifikasjonen i arkfane 3 i grå tabell</t>
  </si>
  <si>
    <t>Legg inn/fjern/rediger krav til leverandør i arkfane 4</t>
  </si>
  <si>
    <t>Legg inn/fjern/rediger krav til produkt i arkfane 5</t>
  </si>
  <si>
    <t xml:space="preserve">Legg inn riktig kravnummer i ref. </t>
  </si>
  <si>
    <r>
      <t xml:space="preserve">Krav i arkfane 5 som </t>
    </r>
    <r>
      <rPr>
        <b/>
        <sz val="11"/>
        <rFont val="Calibri"/>
        <family val="2"/>
        <scheme val="minor"/>
      </rPr>
      <t>gjelder for alle produkter</t>
    </r>
    <r>
      <rPr>
        <sz val="11"/>
        <rFont val="Calibri"/>
        <family val="2"/>
        <scheme val="minor"/>
      </rPr>
      <t xml:space="preserve"> i kravspesifikasjonen nummereres 5.1.1 osv. </t>
    </r>
  </si>
  <si>
    <r>
      <t xml:space="preserve">Sett med krav som kun gjelder for </t>
    </r>
    <r>
      <rPr>
        <b/>
        <sz val="11"/>
        <rFont val="Calibri"/>
        <family val="2"/>
        <scheme val="minor"/>
      </rPr>
      <t>enkelte grupper eller delleveranser</t>
    </r>
    <r>
      <rPr>
        <sz val="11"/>
        <rFont val="Calibri"/>
        <family val="2"/>
        <scheme val="minor"/>
      </rPr>
      <t xml:space="preserve"> nummereres 5.2.1 osv og 5.3.1 osv osv.</t>
    </r>
  </si>
  <si>
    <t>Angi riktige sett med kravnummer for riktige delleveranser i arkfane 3 Anskaffelsen.</t>
  </si>
  <si>
    <t>Hvite celler skal stå tomme for at leverandør kan fylle ut.</t>
  </si>
  <si>
    <t>Veiledning til malen som står i hvite celler er satt med svart skriftfarge i stedet for blå, for at man skal slippe å endre tilbake til svart skrift.</t>
  </si>
  <si>
    <t>Sjul arkfane 'lister' før utlysning.</t>
  </si>
  <si>
    <t>OM ARKFANE 3 ANSKAFFELSEN - EKSEMPEL</t>
  </si>
  <si>
    <t xml:space="preserve">LISTER - Disse kan brukes for nedtrekksmenyer/drop downs i krav. </t>
  </si>
  <si>
    <t>Definerer delleveransen (1)</t>
  </si>
  <si>
    <t>Definerer delleveransen (2)</t>
  </si>
  <si>
    <t xml:space="preserve">Definerer delleveransen (3) </t>
  </si>
  <si>
    <t>Definerer delleveransen (4)</t>
  </si>
  <si>
    <t>Vis til krav som gjelder for den aktuelle delleveranse</t>
  </si>
  <si>
    <t>Børkrav ja/nei</t>
  </si>
  <si>
    <t>B180 krav</t>
  </si>
  <si>
    <t>Bør-Krav til lager (LP1)</t>
  </si>
  <si>
    <t>Antall EU-land land med salg</t>
  </si>
  <si>
    <t>Skalkrav lager ved oppstart</t>
  </si>
  <si>
    <t>Skalkrav JA</t>
  </si>
  <si>
    <t>Kravtype</t>
  </si>
  <si>
    <t>MT-land i EU/EØS</t>
  </si>
  <si>
    <t xml:space="preserve">Vektingsprosent </t>
  </si>
  <si>
    <t>Vektingsprosent alternativ 2</t>
  </si>
  <si>
    <t>Skalkrav likeverdighet</t>
  </si>
  <si>
    <t>Emballasjetype tab/kaps</t>
  </si>
  <si>
    <t>Språk på pakning/SPC</t>
  </si>
  <si>
    <t>Bruksområde Sykehusinnkjøp</t>
  </si>
  <si>
    <t>Kravsett i arkfane 5</t>
  </si>
  <si>
    <t>Belgia</t>
  </si>
  <si>
    <t>Pris (P)</t>
  </si>
  <si>
    <t>SPC vedlagt</t>
  </si>
  <si>
    <t>Endose, elektronisk identifiserbar</t>
  </si>
  <si>
    <t>Dansk</t>
  </si>
  <si>
    <t>Inneholder ikke fenazon</t>
  </si>
  <si>
    <t>ABCDEF</t>
  </si>
  <si>
    <t>EKS1 Paracetamol</t>
  </si>
  <si>
    <t>Eks 1 infusjon</t>
  </si>
  <si>
    <t xml:space="preserve">Eks1 til barn </t>
  </si>
  <si>
    <t xml:space="preserve">EKS1: Tilbyder rangert som nr 1 blir førstevalg for alle pasienter, det er allikevel behov for avtale med flere tilbydere for å dekke ulike medisinske behov. </t>
  </si>
  <si>
    <t>må avklares og innhentes info for aktuell anskaffelse</t>
  </si>
  <si>
    <t>(nr på krav som gjelder alle produkter + nr på krav som gjelder undergruppen infusjon)</t>
  </si>
  <si>
    <t>Tilbudte produkter er allerede i avtale og lager er bygd opp.</t>
  </si>
  <si>
    <t>Bulgaria</t>
  </si>
  <si>
    <t>Brukervennlighet, pakninger og produktspekter (PP)</t>
  </si>
  <si>
    <t>SPC og stabilitetsdata vedlagt</t>
  </si>
  <si>
    <t>Endose</t>
  </si>
  <si>
    <t>Svensk</t>
  </si>
  <si>
    <t>Inneholder fenazon</t>
  </si>
  <si>
    <t>EKS2 Paracetamol</t>
  </si>
  <si>
    <t>Eks 2 tablett/kapsel</t>
  </si>
  <si>
    <t xml:space="preserve">Eks2 ikke angitt </t>
  </si>
  <si>
    <t xml:space="preserve">EKS2: Tilbyder rangert som nr 1 får tildelt 70% av markedet (2-3 RHF avhengig av forbruksmønster), og nr 2 får 30%  av hensyn til beredskap. </t>
  </si>
  <si>
    <t>(nr på krav som gjelder alle produkter + nr på krav som gjelder undergruppen tablett/kapsel)</t>
  </si>
  <si>
    <t>Danmark</t>
  </si>
  <si>
    <t>Leveringssikkerhet: Lager (LP1)</t>
  </si>
  <si>
    <t>Blister</t>
  </si>
  <si>
    <t>Engelsk</t>
  </si>
  <si>
    <t>Leveringssikkerhet: Salg i flere land (LP2)</t>
  </si>
  <si>
    <t>Boks</t>
  </si>
  <si>
    <t>Tysk</t>
  </si>
  <si>
    <t>Finland</t>
  </si>
  <si>
    <t>Leveringssikkerhet: Fellesnordisk pakning (LP3)</t>
  </si>
  <si>
    <t>Ukjent</t>
  </si>
  <si>
    <t>Annet</t>
  </si>
  <si>
    <t>Kan ikke starte levering tidligere.</t>
  </si>
  <si>
    <t>Frankrike</t>
  </si>
  <si>
    <t xml:space="preserve">Miljø på leverandørnivå: XX (ML1) </t>
  </si>
  <si>
    <t>Hellas</t>
  </si>
  <si>
    <t xml:space="preserve">Miljø på produktnivå: XX (MP1) </t>
  </si>
  <si>
    <t>Irland</t>
  </si>
  <si>
    <t>Pakninger og produktspekter (PP)</t>
  </si>
  <si>
    <t>Island</t>
  </si>
  <si>
    <t>Italia</t>
  </si>
  <si>
    <t>Kroatia</t>
  </si>
  <si>
    <t>Kypros</t>
  </si>
  <si>
    <t>Latvia</t>
  </si>
  <si>
    <t>Liechtenstein</t>
  </si>
  <si>
    <t>Litauen</t>
  </si>
  <si>
    <t>Luxembourg</t>
  </si>
  <si>
    <t>Malta</t>
  </si>
  <si>
    <t>Nederland</t>
  </si>
  <si>
    <t>Polen</t>
  </si>
  <si>
    <t>Portugal</t>
  </si>
  <si>
    <t>Romania</t>
  </si>
  <si>
    <t>Slovakia</t>
  </si>
  <si>
    <t>Slovenia</t>
  </si>
  <si>
    <t>Spania</t>
  </si>
  <si>
    <t>Sverige</t>
  </si>
  <si>
    <t>Tsjekkia</t>
  </si>
  <si>
    <t>Tyskland</t>
  </si>
  <si>
    <t>Ungarn</t>
  </si>
  <si>
    <t>Østerrike</t>
  </si>
  <si>
    <t>UNIKE KRAVSETT</t>
  </si>
  <si>
    <t>Dynamisk liste, basert på kolonne kravsett i ark 5</t>
  </si>
  <si>
    <t>Steril ampulle</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</si>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</sst>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4" x14ac:knownFonts="1">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7"/>
      <color theme="1"/>
      <name val="Times New Roman"/>
      <family val="1"/>
    </font>
    <font>
      <i/>
      <sz val="11"/>
      <color rgb="FF000000"/>
      <name val="Arial"/>
      <family val="2"/>
    </font>
    <font>
      <sz val="11"/>
      <color rgb="FF000000"/>
      <name val="Arial"/>
      <family val="2"/>
    </font>
    <font>
      <sz val="8"/>
      <color rgb="FF000000"/>
      <name val="Calibri"/>
      <family val="2"/>
      <scheme val="minor"/>
    </font>
    <font>
      <sz val="11"/>
      <color rgb="FF366092"/>
      <name val="Calibri"/>
      <family val="2"/>
      <scheme val="minor"/>
    </font>
    <font>
      <sz val="11"/>
      <color rgb="FF000000"/>
      <name val="Calibri"/>
      <family val="2"/>
      <scheme val="minor"/>
    </font>
    <font>
      <b/>
      <sz val="11"/>
      <color rgb="FFFF0000"/>
      <name val="Calibri"/>
      <family val="2"/>
      <scheme val="minor"/>
    </font>
    <font>
      <b/>
      <sz val="11"/>
      <color rgb="FF000000"/>
      <name val="Calibri"/>
      <family val="2"/>
      <scheme val="minor"/>
    </font>
    <font>
      <sz val="11"/>
      <color rgb="FF4472C4"/>
      <name val="Calibri"/>
      <family val="2"/>
      <scheme val="minor"/>
    </font>
    <font>
      <b/>
      <sz val="11"/>
      <color rgb="FF4472C4"/>
      <name val="Calibri"/>
      <family val="2"/>
      <scheme val="minor"/>
    </font>
    <font>
      <u/>
      <sz val="11"/>
      <color theme="10"/>
      <name val="Calibri"/>
      <family val="2"/>
      <scheme val="minor"/>
    </font>
    <font>
      <b/>
      <sz val="12"/>
      <color rgb="FFFFFFFF"/>
      <name val="Calibri"/>
      <family val="2"/>
    </font>
    <font>
      <b/>
      <sz val="16"/>
      <name val="Calibri"/>
      <family val="2"/>
      <scheme val="minor"/>
    </font>
    <font>
      <b/>
      <sz val="7"/>
      <name val="Times New Roman"/>
      <family val="1"/>
    </font>
    <font>
      <sz val="11"/>
      <name val="Calibri"/>
      <family val="2"/>
      <scheme val="minor"/>
    </font>
    <font>
      <b/>
      <sz val="11"/>
      <color rgb="FFFFFFFF"/>
      <name val="Calibri"/>
      <family val="2"/>
      <scheme val="minor"/>
    </font>
    <font>
      <sz val="11"/>
      <color rgb="FFFFFFFF"/>
      <name val="Calibri"/>
      <family val="2"/>
      <scheme val="minor"/>
    </font>
    <font>
      <b/>
      <sz val="12"/>
      <name val="Calibri"/>
      <family val="2"/>
      <scheme val="minor"/>
    </font>
    <font>
      <b/>
      <u/>
      <sz val="12"/>
      <name val="Calibri"/>
      <family val="2"/>
      <scheme val="minor"/>
    </font>
    <font>
      <sz val="11"/>
      <color theme="4"/>
      <name val="Calibri"/>
      <family val="2"/>
    </font>
    <font>
      <b/>
      <sz val="12"/>
      <color rgb="FFFF0000"/>
      <name val="Calibri"/>
      <family val="2"/>
      <scheme val="minor"/>
    </font>
    <font>
      <sz val="8"/>
      <name val="Calibri"/>
      <family val="2"/>
      <scheme val="minor"/>
    </font>
    <font>
      <sz val="11"/>
      <color theme="4" tint="0.39997558519241921"/>
      <name val="Calibri"/>
      <family val="2"/>
      <scheme val="minor"/>
    </font>
    <font>
      <b/>
      <sz val="11"/>
      <color theme="4" tint="0.39997558519241921"/>
      <name val="Calibri"/>
      <family val="2"/>
      <scheme val="minor"/>
    </font>
    <font>
      <b/>
      <sz val="11"/>
      <name val="Calibri"/>
      <family val="2"/>
      <scheme val="minor"/>
    </font>
    <font>
      <sz val="11"/>
      <color theme="1"/>
      <name val="Calibri"/>
      <family val="2"/>
      <scheme val="minor"/>
    </font>
    <font>
      <sz val="11"/>
      <color theme="8" tint="-0.249977111117893"/>
      <name val="Calibri"/>
      <family val="2"/>
      <scheme val="minor"/>
    </font>
    <font>
      <b/>
      <sz val="11"/>
      <color theme="8" tint="-0.249977111117893"/>
      <name val="Calibri"/>
      <family val="2"/>
      <scheme val="minor"/>
    </font>
    <font>
      <b/>
      <sz val="12"/>
      <color rgb="FFFFFFFF"/>
      <name val="Calibri"/>
      <family val="2"/>
      <scheme val="minor"/>
    </font>
    <font>
      <b/>
      <sz val="14"/>
      <color theme="1"/>
      <name val="Calibri"/>
      <family val="2"/>
      <scheme val="minor"/>
    </font>
    <font>
      <b/>
      <sz val="22"/>
      <color theme="1"/>
      <name val="Calibri"/>
      <family val="2"/>
      <scheme val="minor"/>
    </font>
    <font>
      <b/>
      <sz val="22"/>
      <color theme="5" tint="-0.499984740745262"/>
      <name val="Calibri"/>
      <family val="2"/>
      <scheme val="minor"/>
    </font>
    <font>
      <sz val="11"/>
      <color theme="5" tint="-0.499984740745262"/>
      <name val="Calibri"/>
      <family val="2"/>
      <scheme val="minor"/>
    </font>
    <font>
      <b/>
      <sz val="11"/>
      <color theme="5" tint="-0.499984740745262"/>
      <name val="Calibri"/>
      <family val="2"/>
      <scheme val="minor"/>
    </font>
    <font>
      <b/>
      <sz val="11"/>
      <color theme="5" tint="-0.249977111117893"/>
      <name val="Calibri"/>
      <family val="2"/>
      <scheme val="minor"/>
    </font>
    <font>
      <sz val="11"/>
      <color theme="5" tint="0.39997558519241921"/>
      <name val="Calibri"/>
      <family val="2"/>
      <scheme val="minor"/>
    </font>
    <font>
      <b/>
      <sz val="14"/>
      <name val="Calibri"/>
      <family val="2"/>
      <scheme val="minor"/>
    </font>
    <font>
      <b/>
      <sz val="14"/>
      <color rgb="FFFF0000"/>
      <name val="Calibri"/>
      <family val="2"/>
      <scheme val="minor"/>
    </font>
    <font>
      <b/>
      <sz val="11"/>
      <color theme="5" tint="0.39997558519241921"/>
      <name val="Calibri"/>
      <family val="2"/>
      <scheme val="minor"/>
    </font>
    <font>
      <i/>
      <sz val="11"/>
      <color theme="1"/>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1F4E79"/>
        <bgColor indexed="64"/>
      </patternFill>
    </fill>
    <fill>
      <patternFill patternType="solid">
        <fgColor theme="2"/>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C99FF"/>
        <bgColor indexed="64"/>
      </patternFill>
    </fill>
    <fill>
      <patternFill patternType="solid">
        <fgColor rgb="FFCCCCFF"/>
        <bgColor indexed="64"/>
      </patternFill>
    </fill>
    <fill>
      <patternFill patternType="solid">
        <fgColor rgb="FFD9D9D9"/>
        <bgColor rgb="FF000000"/>
      </patternFill>
    </fill>
    <fill>
      <patternFill patternType="solid">
        <fgColor rgb="FF1F4E79"/>
        <bgColor rgb="FF000000"/>
      </patternFill>
    </fill>
    <fill>
      <patternFill patternType="solid">
        <fgColor rgb="FFE7E6E6"/>
        <bgColor rgb="FF000000"/>
      </patternFill>
    </fill>
    <fill>
      <patternFill patternType="solid">
        <fgColor rgb="FFFFC000"/>
        <bgColor indexed="64"/>
      </patternFill>
    </fill>
    <fill>
      <patternFill patternType="solid">
        <fgColor theme="0" tint="-4.9989318521683403E-2"/>
        <bgColor indexed="64"/>
      </patternFill>
    </fill>
  </fills>
  <borders count="41">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diagonal/>
    </border>
    <border>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14" fillId="0" borderId="0" applyNumberFormat="0" applyFill="0" applyBorder="0" applyAlignment="0" applyProtection="0"/>
    <xf numFmtId="9" fontId="29" fillId="0" borderId="0" applyFont="0" applyFill="0" applyBorder="0" applyAlignment="0" applyProtection="0"/>
  </cellStyleXfs>
  <cellXfs count="202">
    <xf numFmtId="0" fontId="0" fillId="0" borderId="0" xfId="0"/>
    <xf numFmtId="0" fontId="0" fillId="2" borderId="0" xfId="0" applyFill="1"/>
    <xf numFmtId="0" fontId="0" fillId="2" borderId="0" xfId="0" applyFill="1" applyAlignment="1">
      <alignment wrapText="1"/>
    </xf>
    <xf numFmtId="0" fontId="3" fillId="3" borderId="0" xfId="0" applyFont="1" applyFill="1" applyAlignment="1">
      <alignment vertical="center"/>
    </xf>
    <xf numFmtId="0" fontId="0" fillId="3" borderId="0" xfId="0" applyFill="1" applyAlignment="1">
      <alignment vertical="center"/>
    </xf>
    <xf numFmtId="0" fontId="14" fillId="3" borderId="0" xfId="1" applyFill="1" applyAlignment="1">
      <alignment horizontal="left" vertical="center" indent="5"/>
    </xf>
    <xf numFmtId="0" fontId="0" fillId="3" borderId="0" xfId="0" applyFill="1"/>
    <xf numFmtId="0" fontId="14" fillId="3" borderId="0" xfId="1" quotePrefix="1" applyFill="1" applyAlignment="1">
      <alignment horizontal="left" vertical="center" indent="5"/>
    </xf>
    <xf numFmtId="0" fontId="18" fillId="2" borderId="0" xfId="0" applyFont="1" applyFill="1"/>
    <xf numFmtId="0" fontId="16" fillId="2" borderId="0" xfId="0" applyFont="1" applyFill="1" applyAlignment="1">
      <alignment vertical="center"/>
    </xf>
    <xf numFmtId="0" fontId="18" fillId="2" borderId="0" xfId="0" applyFont="1" applyFill="1" applyAlignment="1">
      <alignment vertical="top"/>
    </xf>
    <xf numFmtId="0" fontId="19" fillId="4" borderId="3" xfId="0" applyFont="1" applyFill="1" applyBorder="1" applyAlignment="1">
      <alignment horizontal="center" vertical="center" wrapText="1"/>
    </xf>
    <xf numFmtId="0" fontId="1" fillId="2" borderId="0" xfId="0" applyFont="1" applyFill="1" applyAlignment="1">
      <alignment horizontal="right"/>
    </xf>
    <xf numFmtId="0" fontId="22" fillId="2" borderId="0" xfId="0" applyFont="1" applyFill="1"/>
    <xf numFmtId="0" fontId="21" fillId="2" borderId="0" xfId="0" applyFont="1" applyFill="1" applyAlignment="1">
      <alignment vertical="center"/>
    </xf>
    <xf numFmtId="0" fontId="18" fillId="2" borderId="0" xfId="0" applyFont="1" applyFill="1" applyAlignment="1">
      <alignment vertical="center"/>
    </xf>
    <xf numFmtId="10" fontId="18" fillId="8" borderId="3" xfId="0" applyNumberFormat="1" applyFont="1" applyFill="1" applyBorder="1" applyAlignment="1">
      <alignment horizontal="left" vertical="center" wrapText="1" indent="1"/>
    </xf>
    <xf numFmtId="10" fontId="18" fillId="9" borderId="3" xfId="0" applyNumberFormat="1" applyFont="1" applyFill="1" applyBorder="1" applyAlignment="1">
      <alignment horizontal="left" vertical="center" wrapText="1" indent="1"/>
    </xf>
    <xf numFmtId="0" fontId="2" fillId="0" borderId="0" xfId="0" applyFont="1"/>
    <xf numFmtId="0" fontId="27" fillId="2" borderId="0" xfId="0" applyFont="1" applyFill="1"/>
    <xf numFmtId="0" fontId="27" fillId="3" borderId="0" xfId="0" applyFont="1" applyFill="1" applyAlignment="1">
      <alignment vertical="center"/>
    </xf>
    <xf numFmtId="0" fontId="0" fillId="10" borderId="0" xfId="0" applyFill="1"/>
    <xf numFmtId="0" fontId="0" fillId="9" borderId="0" xfId="0" applyFill="1"/>
    <xf numFmtId="0" fontId="0" fillId="0" borderId="0" xfId="0" applyAlignment="1">
      <alignment horizontal="right"/>
    </xf>
    <xf numFmtId="0" fontId="0" fillId="0" borderId="0" xfId="0" applyAlignment="1">
      <alignment wrapText="1"/>
    </xf>
    <xf numFmtId="0" fontId="22" fillId="2" borderId="0" xfId="0" quotePrefix="1" applyFont="1" applyFill="1"/>
    <xf numFmtId="0" fontId="18" fillId="12" borderId="3" xfId="0" applyFont="1" applyFill="1" applyBorder="1" applyAlignment="1">
      <alignment vertical="center" wrapText="1"/>
    </xf>
    <xf numFmtId="0" fontId="18" fillId="13" borderId="3" xfId="0" applyFont="1" applyFill="1" applyBorder="1" applyAlignment="1">
      <alignment vertical="center" wrapText="1"/>
    </xf>
    <xf numFmtId="0" fontId="31" fillId="10" borderId="0" xfId="0" applyFont="1" applyFill="1" applyAlignment="1">
      <alignment horizontal="right"/>
    </xf>
    <xf numFmtId="0" fontId="31" fillId="9" borderId="0" xfId="0" applyFont="1" applyFill="1" applyAlignment="1">
      <alignment horizontal="right"/>
    </xf>
    <xf numFmtId="49" fontId="31" fillId="10" borderId="0" xfId="0" applyNumberFormat="1" applyFont="1" applyFill="1" applyAlignment="1">
      <alignment horizontal="right"/>
    </xf>
    <xf numFmtId="9" fontId="18" fillId="8" borderId="4" xfId="2" applyFont="1" applyFill="1" applyBorder="1" applyAlignment="1">
      <alignment horizontal="right" vertical="center" wrapText="1"/>
    </xf>
    <xf numFmtId="9" fontId="18" fillId="11" borderId="4" xfId="2" applyFont="1" applyFill="1" applyBorder="1" applyAlignment="1">
      <alignment horizontal="right" vertical="center" wrapText="1"/>
    </xf>
    <xf numFmtId="9" fontId="18" fillId="9" borderId="4" xfId="2" applyFont="1" applyFill="1" applyBorder="1" applyAlignment="1">
      <alignment horizontal="right" vertical="center" wrapText="1"/>
    </xf>
    <xf numFmtId="9" fontId="18" fillId="12" borderId="3" xfId="2" applyFont="1" applyFill="1" applyBorder="1" applyAlignment="1">
      <alignment horizontal="right" vertical="center" wrapText="1"/>
    </xf>
    <xf numFmtId="9" fontId="18" fillId="13" borderId="3" xfId="2" applyFont="1" applyFill="1" applyBorder="1" applyAlignment="1">
      <alignment horizontal="right" vertical="center" wrapText="1"/>
    </xf>
    <xf numFmtId="0" fontId="30" fillId="0" borderId="0" xfId="0" applyFont="1"/>
    <xf numFmtId="9" fontId="0" fillId="0" borderId="0" xfId="2" applyFont="1" applyAlignment="1">
      <alignment horizontal="right" vertical="center" wrapText="1"/>
    </xf>
    <xf numFmtId="0" fontId="18" fillId="9" borderId="15" xfId="0" applyFont="1" applyFill="1" applyBorder="1" applyAlignment="1">
      <alignment horizontal="left" vertical="center" wrapText="1"/>
    </xf>
    <xf numFmtId="9" fontId="0" fillId="0" borderId="0" xfId="2" applyFont="1" applyBorder="1" applyAlignment="1">
      <alignment horizontal="right" vertical="center" wrapText="1"/>
    </xf>
    <xf numFmtId="10" fontId="18" fillId="11" borderId="3" xfId="0" applyNumberFormat="1" applyFont="1" applyFill="1" applyBorder="1" applyAlignment="1">
      <alignment horizontal="left" vertical="center" wrapText="1" indent="1"/>
    </xf>
    <xf numFmtId="10" fontId="18" fillId="12" borderId="3" xfId="0" applyNumberFormat="1" applyFont="1" applyFill="1" applyBorder="1" applyAlignment="1">
      <alignment horizontal="left" vertical="center" wrapText="1" indent="1"/>
    </xf>
    <xf numFmtId="10" fontId="18" fillId="13" borderId="3" xfId="0" applyNumberFormat="1" applyFont="1" applyFill="1" applyBorder="1" applyAlignment="1">
      <alignment horizontal="left" vertical="center" wrapText="1" indent="1"/>
    </xf>
    <xf numFmtId="0" fontId="18" fillId="0" borderId="0" xfId="0" applyFont="1"/>
    <xf numFmtId="0" fontId="28" fillId="0" borderId="0" xfId="0" applyFont="1"/>
    <xf numFmtId="0" fontId="32" fillId="15" borderId="26" xfId="0" applyFont="1" applyFill="1" applyBorder="1" applyAlignment="1">
      <alignment horizontal="center" vertical="center" wrapText="1"/>
    </xf>
    <xf numFmtId="0" fontId="32" fillId="15" borderId="27" xfId="0" applyFont="1" applyFill="1" applyBorder="1" applyAlignment="1">
      <alignment horizontal="left" vertical="center" wrapText="1"/>
    </xf>
    <xf numFmtId="0" fontId="32" fillId="15" borderId="27" xfId="0" applyFont="1" applyFill="1" applyBorder="1" applyAlignment="1">
      <alignment horizontal="center" vertical="center" wrapText="1"/>
    </xf>
    <xf numFmtId="0" fontId="12" fillId="16" borderId="1" xfId="0" applyFont="1" applyFill="1" applyBorder="1" applyAlignment="1">
      <alignment horizontal="left" vertical="center" wrapText="1"/>
    </xf>
    <xf numFmtId="0" fontId="12" fillId="16" borderId="2" xfId="0" applyFont="1" applyFill="1" applyBorder="1" applyAlignment="1">
      <alignment horizontal="left" vertical="center" wrapText="1"/>
    </xf>
    <xf numFmtId="0" fontId="1" fillId="0" borderId="0" xfId="0" applyFont="1" applyAlignment="1">
      <alignment horizontal="right"/>
    </xf>
    <xf numFmtId="0" fontId="0" fillId="0" borderId="0" xfId="0" quotePrefix="1"/>
    <xf numFmtId="0" fontId="34" fillId="0" borderId="0" xfId="0" applyFont="1" applyAlignment="1">
      <alignment vertical="top"/>
    </xf>
    <xf numFmtId="0" fontId="35" fillId="0" borderId="0" xfId="0" applyFont="1" applyAlignment="1">
      <alignment horizontal="left" vertical="top"/>
    </xf>
    <xf numFmtId="0" fontId="36" fillId="0" borderId="0" xfId="0" applyFont="1" applyAlignment="1">
      <alignment horizontal="left"/>
    </xf>
    <xf numFmtId="0" fontId="0" fillId="0" borderId="0" xfId="0" applyAlignment="1">
      <alignment horizontal="left"/>
    </xf>
    <xf numFmtId="0" fontId="24" fillId="2" borderId="0" xfId="0" applyFont="1" applyFill="1" applyAlignment="1" applyProtection="1">
      <alignment vertical="center"/>
      <protection locked="0"/>
    </xf>
    <xf numFmtId="0" fontId="27" fillId="2" borderId="0" xfId="0" applyFont="1" applyFill="1" applyProtection="1">
      <protection locked="0"/>
    </xf>
    <xf numFmtId="0" fontId="18" fillId="2" borderId="0" xfId="0" applyFont="1" applyFill="1" applyAlignment="1" applyProtection="1">
      <alignment vertical="center"/>
      <protection locked="0"/>
    </xf>
    <xf numFmtId="0" fontId="19" fillId="4" borderId="3" xfId="0" applyFont="1" applyFill="1" applyBorder="1" applyAlignment="1" applyProtection="1">
      <alignment horizontal="center" vertical="center" wrapText="1"/>
      <protection locked="0"/>
    </xf>
    <xf numFmtId="0" fontId="18" fillId="2" borderId="0" xfId="0" applyFont="1" applyFill="1" applyProtection="1">
      <protection locked="0"/>
    </xf>
    <xf numFmtId="0" fontId="26" fillId="2" borderId="0" xfId="0" applyFont="1" applyFill="1" applyProtection="1">
      <protection locked="0"/>
    </xf>
    <xf numFmtId="0" fontId="21"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49" fontId="18" fillId="6" borderId="3" xfId="0" applyNumberFormat="1" applyFont="1" applyFill="1" applyBorder="1" applyAlignment="1" applyProtection="1">
      <alignment horizontal="center" vertical="top" wrapText="1"/>
      <protection locked="0"/>
    </xf>
    <xf numFmtId="0" fontId="18" fillId="14" borderId="3" xfId="0" applyFont="1" applyFill="1" applyBorder="1" applyAlignment="1" applyProtection="1">
      <alignment vertical="top" wrapText="1"/>
      <protection locked="0"/>
    </xf>
    <xf numFmtId="0" fontId="18" fillId="6" borderId="3" xfId="0" applyFont="1" applyFill="1" applyBorder="1" applyAlignment="1" applyProtection="1">
      <alignment horizontal="center" vertical="top" wrapText="1"/>
      <protection locked="0"/>
    </xf>
    <xf numFmtId="0" fontId="18" fillId="7" borderId="3" xfId="0" applyFont="1" applyFill="1" applyBorder="1" applyAlignment="1" applyProtection="1">
      <alignment horizontal="center" vertical="top" wrapText="1"/>
      <protection locked="0"/>
    </xf>
    <xf numFmtId="0" fontId="0" fillId="3" borderId="3" xfId="0" applyFill="1" applyBorder="1" applyAlignment="1" applyProtection="1">
      <alignment horizontal="center" vertical="top" wrapText="1"/>
      <protection locked="0"/>
    </xf>
    <xf numFmtId="0" fontId="18" fillId="3" borderId="3" xfId="0" applyFont="1" applyFill="1" applyBorder="1" applyAlignment="1" applyProtection="1">
      <alignment vertical="top" wrapText="1"/>
      <protection locked="0"/>
    </xf>
    <xf numFmtId="0" fontId="18" fillId="6" borderId="3" xfId="0" applyFont="1" applyFill="1" applyBorder="1" applyAlignment="1" applyProtection="1">
      <alignment vertical="top" wrapText="1"/>
      <protection locked="0"/>
    </xf>
    <xf numFmtId="0" fontId="18" fillId="3" borderId="3" xfId="0" applyFont="1" applyFill="1" applyBorder="1" applyAlignment="1" applyProtection="1">
      <alignment horizontal="center" vertical="top" wrapText="1"/>
      <protection locked="0"/>
    </xf>
    <xf numFmtId="0" fontId="18" fillId="2" borderId="0" xfId="0" applyFont="1" applyFill="1" applyAlignment="1" applyProtection="1">
      <alignment wrapText="1"/>
      <protection locked="0"/>
    </xf>
    <xf numFmtId="0" fontId="0" fillId="0" borderId="19" xfId="0" applyBorder="1"/>
    <xf numFmtId="0" fontId="0" fillId="0" borderId="32" xfId="0" applyBorder="1"/>
    <xf numFmtId="0" fontId="0" fillId="0" borderId="1" xfId="0" applyBorder="1"/>
    <xf numFmtId="0" fontId="2" fillId="0" borderId="31" xfId="0" applyFont="1" applyBorder="1"/>
    <xf numFmtId="0" fontId="1" fillId="2" borderId="0" xfId="0" applyFont="1" applyFill="1"/>
    <xf numFmtId="0" fontId="36" fillId="17" borderId="0" xfId="0" applyFont="1" applyFill="1" applyAlignment="1">
      <alignment horizontal="left"/>
    </xf>
    <xf numFmtId="0" fontId="18" fillId="3" borderId="16" xfId="0" applyFont="1" applyFill="1" applyBorder="1" applyAlignment="1">
      <alignment vertical="top" wrapText="1"/>
    </xf>
    <xf numFmtId="0" fontId="18" fillId="3" borderId="30" xfId="0" applyFont="1" applyFill="1" applyBorder="1" applyAlignment="1">
      <alignment horizontal="center" vertical="top" wrapText="1"/>
    </xf>
    <xf numFmtId="0" fontId="18" fillId="3" borderId="20" xfId="0" applyFont="1" applyFill="1" applyBorder="1" applyAlignment="1">
      <alignment vertical="top" wrapText="1"/>
    </xf>
    <xf numFmtId="0" fontId="18" fillId="3" borderId="21" xfId="0" applyFont="1" applyFill="1" applyBorder="1" applyAlignment="1">
      <alignment horizontal="center" vertical="top" wrapText="1"/>
    </xf>
    <xf numFmtId="0" fontId="18" fillId="2" borderId="0" xfId="0" quotePrefix="1" applyFont="1" applyFill="1"/>
    <xf numFmtId="0" fontId="0" fillId="0" borderId="3" xfId="0" applyBorder="1" applyAlignment="1">
      <alignment vertical="top" wrapText="1"/>
    </xf>
    <xf numFmtId="0" fontId="0" fillId="0" borderId="3" xfId="0" applyBorder="1" applyAlignment="1">
      <alignment horizontal="center" vertical="top" wrapText="1"/>
    </xf>
    <xf numFmtId="0" fontId="20" fillId="4" borderId="3" xfId="0" applyFont="1" applyFill="1" applyBorder="1" applyAlignment="1">
      <alignment horizontal="center" vertical="center" wrapText="1"/>
    </xf>
    <xf numFmtId="0" fontId="20" fillId="4" borderId="3" xfId="0" applyFont="1" applyFill="1" applyBorder="1" applyAlignment="1">
      <alignment vertical="center" wrapText="1"/>
    </xf>
    <xf numFmtId="0" fontId="0" fillId="0" borderId="3" xfId="0" applyBorder="1" applyAlignment="1">
      <alignment wrapText="1"/>
    </xf>
    <xf numFmtId="0" fontId="39" fillId="4" borderId="21" xfId="0" applyFont="1" applyFill="1" applyBorder="1" applyAlignment="1">
      <alignment vertical="center" wrapText="1"/>
    </xf>
    <xf numFmtId="0" fontId="39" fillId="4" borderId="20" xfId="0" applyFont="1" applyFill="1" applyBorder="1" applyAlignment="1">
      <alignment vertical="center" wrapText="1"/>
    </xf>
    <xf numFmtId="0" fontId="40" fillId="2" borderId="0" xfId="0" applyFont="1" applyFill="1" applyAlignment="1">
      <alignment vertical="center"/>
    </xf>
    <xf numFmtId="0" fontId="35" fillId="0" borderId="0" xfId="0" applyFont="1" applyAlignment="1">
      <alignment horizontal="left" vertical="top" wrapText="1"/>
    </xf>
    <xf numFmtId="0" fontId="36" fillId="0" borderId="0" xfId="0" applyFont="1" applyAlignment="1">
      <alignment horizontal="left" wrapText="1"/>
    </xf>
    <xf numFmtId="0" fontId="36" fillId="0" borderId="0" xfId="0" quotePrefix="1" applyFont="1" applyAlignment="1">
      <alignment horizontal="left" wrapText="1"/>
    </xf>
    <xf numFmtId="0" fontId="37" fillId="0" borderId="0" xfId="0" applyFont="1" applyAlignment="1">
      <alignment horizontal="left" wrapText="1"/>
    </xf>
    <xf numFmtId="0" fontId="20" fillId="4" borderId="3" xfId="0" applyFont="1" applyFill="1" applyBorder="1" applyAlignment="1" applyProtection="1">
      <alignment vertical="center" wrapText="1"/>
      <protection locked="0"/>
    </xf>
    <xf numFmtId="0" fontId="20" fillId="4" borderId="3" xfId="0" applyFont="1" applyFill="1" applyBorder="1" applyAlignment="1" applyProtection="1">
      <alignment horizontal="center" vertical="center" wrapText="1"/>
      <protection locked="0"/>
    </xf>
    <xf numFmtId="0" fontId="18" fillId="0" borderId="3" xfId="0" applyFont="1" applyBorder="1" applyAlignment="1" applyProtection="1">
      <alignment vertical="top" wrapText="1"/>
      <protection locked="0"/>
    </xf>
    <xf numFmtId="0" fontId="20" fillId="4" borderId="13" xfId="0" applyFont="1" applyFill="1" applyBorder="1" applyAlignment="1" applyProtection="1">
      <alignment vertical="center" wrapText="1"/>
      <protection locked="0"/>
    </xf>
    <xf numFmtId="49" fontId="18" fillId="6" borderId="13" xfId="0" applyNumberFormat="1" applyFont="1" applyFill="1" applyBorder="1" applyAlignment="1" applyProtection="1">
      <alignment horizontal="center" vertical="top" wrapText="1"/>
      <protection locked="0"/>
    </xf>
    <xf numFmtId="0" fontId="0" fillId="3" borderId="14" xfId="0" applyFill="1" applyBorder="1" applyAlignment="1" applyProtection="1">
      <alignment vertical="top" wrapText="1"/>
      <protection locked="0"/>
    </xf>
    <xf numFmtId="0" fontId="3" fillId="0" borderId="0" xfId="0" applyFont="1" applyAlignment="1">
      <alignment horizontal="left" vertical="center" wrapText="1"/>
    </xf>
    <xf numFmtId="0" fontId="0" fillId="0" borderId="0" xfId="0" applyAlignment="1">
      <alignment vertical="center" wrapText="1"/>
    </xf>
    <xf numFmtId="0" fontId="6" fillId="0" borderId="0" xfId="0" applyFont="1" applyAlignment="1">
      <alignment vertical="center" wrapText="1"/>
    </xf>
    <xf numFmtId="0" fontId="12" fillId="0" borderId="0" xfId="0" applyFont="1" applyAlignment="1">
      <alignment vertical="center" wrapText="1"/>
    </xf>
    <xf numFmtId="0" fontId="9" fillId="0" borderId="0" xfId="0" applyFont="1" applyAlignment="1">
      <alignment vertical="center" wrapText="1"/>
    </xf>
    <xf numFmtId="16" fontId="3" fillId="0" borderId="0" xfId="0" quotePrefix="1" applyNumberFormat="1" applyFont="1" applyAlignment="1">
      <alignment horizontal="left" vertical="center" wrapText="1"/>
    </xf>
    <xf numFmtId="0" fontId="0" fillId="18" borderId="3" xfId="0" applyFill="1" applyBorder="1" applyAlignment="1">
      <alignment wrapText="1"/>
    </xf>
    <xf numFmtId="0" fontId="0" fillId="5" borderId="29" xfId="0" applyFill="1" applyBorder="1"/>
    <xf numFmtId="0" fontId="0" fillId="5" borderId="0" xfId="0" applyFill="1"/>
    <xf numFmtId="0" fontId="39" fillId="4" borderId="3" xfId="0" applyFont="1" applyFill="1" applyBorder="1" applyAlignment="1">
      <alignment horizontal="center" vertical="center" wrapText="1"/>
    </xf>
    <xf numFmtId="0" fontId="42" fillId="4" borderId="3" xfId="0" applyFont="1" applyFill="1" applyBorder="1" applyAlignment="1">
      <alignment horizontal="center" vertical="center" wrapText="1"/>
    </xf>
    <xf numFmtId="0" fontId="39" fillId="4" borderId="3" xfId="0" applyFont="1" applyFill="1" applyBorder="1" applyAlignment="1">
      <alignment vertical="center" wrapText="1"/>
    </xf>
    <xf numFmtId="49" fontId="0" fillId="18" borderId="3" xfId="0" applyNumberFormat="1" applyFill="1" applyBorder="1" applyAlignment="1">
      <alignment wrapText="1"/>
    </xf>
    <xf numFmtId="0" fontId="23" fillId="5" borderId="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4" borderId="38" xfId="0" applyFont="1" applyFill="1" applyBorder="1" applyAlignment="1">
      <alignment horizontal="center" vertical="center" wrapText="1"/>
    </xf>
    <xf numFmtId="0" fontId="15" fillId="4" borderId="38" xfId="0" applyFont="1" applyFill="1" applyBorder="1" applyAlignment="1">
      <alignment horizontal="left" vertical="center" wrapText="1"/>
    </xf>
    <xf numFmtId="0" fontId="15" fillId="4" borderId="30" xfId="0" applyFont="1" applyFill="1" applyBorder="1" applyAlignment="1">
      <alignment horizontal="center" vertical="center" wrapText="1"/>
    </xf>
    <xf numFmtId="0" fontId="23" fillId="5" borderId="6" xfId="0" applyFont="1" applyFill="1" applyBorder="1" applyAlignment="1">
      <alignment horizontal="center" vertical="center" wrapText="1"/>
    </xf>
    <xf numFmtId="0" fontId="23" fillId="5" borderId="4" xfId="0" applyFont="1" applyFill="1" applyBorder="1" applyAlignment="1">
      <alignment horizontal="center" vertical="center" wrapText="1"/>
    </xf>
    <xf numFmtId="0" fontId="23" fillId="5" borderId="15" xfId="0" applyFont="1" applyFill="1" applyBorder="1" applyAlignment="1">
      <alignment horizontal="center" vertical="center" wrapText="1"/>
    </xf>
    <xf numFmtId="0" fontId="23" fillId="5" borderId="39" xfId="0" applyFont="1" applyFill="1" applyBorder="1" applyAlignment="1">
      <alignment horizontal="center" vertical="center" wrapText="1"/>
    </xf>
    <xf numFmtId="49" fontId="0" fillId="18" borderId="3" xfId="0" quotePrefix="1" applyNumberFormat="1" applyFill="1" applyBorder="1" applyAlignment="1">
      <alignment wrapText="1"/>
    </xf>
    <xf numFmtId="0" fontId="18" fillId="8" borderId="4" xfId="0" applyFont="1" applyFill="1" applyBorder="1" applyAlignment="1">
      <alignment horizontal="left" vertical="center" wrapText="1"/>
    </xf>
    <xf numFmtId="0" fontId="18" fillId="11" borderId="4" xfId="0" applyFont="1" applyFill="1" applyBorder="1" applyAlignment="1">
      <alignment horizontal="left" vertical="center" wrapText="1"/>
    </xf>
    <xf numFmtId="0" fontId="18" fillId="9" borderId="4" xfId="0" applyFont="1" applyFill="1" applyBorder="1" applyAlignment="1">
      <alignment horizontal="left" vertical="center" wrapText="1"/>
    </xf>
    <xf numFmtId="0" fontId="18" fillId="5" borderId="4" xfId="0" quotePrefix="1" applyFont="1" applyFill="1" applyBorder="1" applyAlignment="1">
      <alignment horizontal="center" vertical="top"/>
    </xf>
    <xf numFmtId="0" fontId="18" fillId="5" borderId="5" xfId="0" applyFont="1" applyFill="1" applyBorder="1" applyAlignment="1">
      <alignment horizontal="center" vertical="top"/>
    </xf>
    <xf numFmtId="0" fontId="18" fillId="5" borderId="34" xfId="0" applyFont="1" applyFill="1" applyBorder="1" applyAlignment="1">
      <alignment horizontal="center" vertical="top"/>
    </xf>
    <xf numFmtId="0" fontId="2" fillId="5" borderId="33"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23" fillId="5" borderId="40" xfId="0" applyFont="1" applyFill="1" applyBorder="1" applyAlignment="1">
      <alignment horizontal="center" vertical="center" wrapText="1"/>
    </xf>
    <xf numFmtId="0" fontId="23" fillId="5" borderId="15" xfId="0" applyNumberFormat="1" applyFont="1" applyFill="1" applyBorder="1" applyAlignment="1">
      <alignment horizontal="center" vertical="center" wrapText="1"/>
    </xf>
    <xf numFmtId="0" fontId="15" fillId="4" borderId="0" xfId="0" applyFont="1" applyFill="1" applyAlignment="1">
      <alignment horizontal="center" vertical="center" wrapText="1"/>
    </xf>
    <xf numFmtId="0" fontId="42" fillId="4" borderId="22" xfId="0" applyFont="1" applyFill="1" applyBorder="1" applyAlignment="1" applyProtection="1">
      <alignment horizontal="center" vertical="center" wrapText="1"/>
      <protection locked="0"/>
    </xf>
    <xf numFmtId="0" fontId="42" fillId="4" borderId="23" xfId="0" applyFont="1" applyFill="1" applyBorder="1" applyAlignment="1" applyProtection="1">
      <alignment horizontal="center" vertical="center" wrapText="1"/>
      <protection locked="0"/>
    </xf>
    <xf numFmtId="0" fontId="42" fillId="4" borderId="24" xfId="0" applyFont="1" applyFill="1" applyBorder="1" applyAlignment="1" applyProtection="1">
      <alignment horizontal="center" vertical="center" wrapText="1"/>
      <protection locked="0"/>
    </xf>
    <xf numFmtId="0" fontId="18" fillId="3" borderId="6" xfId="0" applyFont="1" applyFill="1" applyBorder="1" applyAlignment="1" applyProtection="1">
      <alignment horizontal="center" vertical="top"/>
      <protection locked="0"/>
    </xf>
    <xf numFmtId="0" fontId="18" fillId="3" borderId="3" xfId="0" applyFont="1" applyFill="1" applyBorder="1" applyAlignment="1" applyProtection="1">
      <alignment horizontal="center" vertical="top"/>
      <protection locked="0"/>
    </xf>
    <xf numFmtId="0" fontId="18" fillId="3" borderId="14" xfId="0" applyFont="1" applyFill="1" applyBorder="1" applyAlignment="1" applyProtection="1">
      <alignment horizontal="center" vertical="top"/>
      <protection locked="0"/>
    </xf>
    <xf numFmtId="0" fontId="19" fillId="4" borderId="10" xfId="0" applyFont="1" applyFill="1" applyBorder="1" applyAlignment="1" applyProtection="1">
      <alignment horizontal="center" vertical="center" wrapText="1"/>
      <protection locked="0"/>
    </xf>
    <xf numFmtId="0" fontId="19" fillId="4" borderId="11" xfId="0" applyFont="1" applyFill="1" applyBorder="1" applyAlignment="1" applyProtection="1">
      <alignment horizontal="center" vertical="center" wrapText="1"/>
      <protection locked="0"/>
    </xf>
    <xf numFmtId="0" fontId="19" fillId="4" borderId="3" xfId="0" applyFont="1" applyFill="1" applyBorder="1" applyAlignment="1" applyProtection="1">
      <alignment horizontal="left" vertical="center" wrapText="1"/>
      <protection locked="0"/>
    </xf>
    <xf numFmtId="0" fontId="18" fillId="8" borderId="4" xfId="0" applyFont="1" applyFill="1" applyBorder="1" applyAlignment="1">
      <alignment horizontal="left" vertical="center" wrapText="1"/>
    </xf>
    <xf numFmtId="0" fontId="18" fillId="8" borderId="5" xfId="0" applyFont="1" applyFill="1" applyBorder="1" applyAlignment="1">
      <alignment horizontal="left" vertical="center" wrapText="1"/>
    </xf>
    <xf numFmtId="0" fontId="18" fillId="8" borderId="6" xfId="0" applyFont="1" applyFill="1" applyBorder="1" applyAlignment="1">
      <alignment horizontal="left" vertical="center" wrapText="1"/>
    </xf>
    <xf numFmtId="0" fontId="18" fillId="11" borderId="4" xfId="0" applyFont="1" applyFill="1" applyBorder="1" applyAlignment="1">
      <alignment horizontal="left" vertical="center" wrapText="1"/>
    </xf>
    <xf numFmtId="0" fontId="18" fillId="11" borderId="5" xfId="0" applyFont="1" applyFill="1" applyBorder="1" applyAlignment="1">
      <alignment horizontal="left" vertical="center" wrapText="1"/>
    </xf>
    <xf numFmtId="0" fontId="18" fillId="11" borderId="6" xfId="0" applyFont="1" applyFill="1" applyBorder="1" applyAlignment="1">
      <alignment horizontal="left" vertical="center" wrapText="1"/>
    </xf>
    <xf numFmtId="0" fontId="18" fillId="9" borderId="4" xfId="0" applyFont="1" applyFill="1" applyBorder="1" applyAlignment="1">
      <alignment horizontal="left" vertical="center" wrapText="1"/>
    </xf>
    <xf numFmtId="0" fontId="18" fillId="9" borderId="5" xfId="0" applyFont="1" applyFill="1" applyBorder="1" applyAlignment="1">
      <alignment horizontal="left" vertical="center" wrapText="1"/>
    </xf>
    <xf numFmtId="0" fontId="18" fillId="9" borderId="6" xfId="0" applyFont="1" applyFill="1" applyBorder="1" applyAlignment="1">
      <alignment horizontal="left" vertical="center" wrapText="1"/>
    </xf>
    <xf numFmtId="0" fontId="38" fillId="5" borderId="10" xfId="0" applyFont="1" applyFill="1" applyBorder="1" applyAlignment="1">
      <alignment horizontal="left" vertical="top" wrapText="1"/>
    </xf>
    <xf numFmtId="0" fontId="38" fillId="5" borderId="11" xfId="0" applyFont="1" applyFill="1" applyBorder="1" applyAlignment="1">
      <alignment horizontal="left" vertical="top" wrapText="1"/>
    </xf>
    <xf numFmtId="0" fontId="18" fillId="3" borderId="17" xfId="0" applyFont="1" applyFill="1" applyBorder="1" applyAlignment="1" applyProtection="1">
      <alignment horizontal="center" vertical="top"/>
      <protection locked="0"/>
    </xf>
    <xf numFmtId="0" fontId="18" fillId="3" borderId="11" xfId="0" applyFont="1" applyFill="1" applyBorder="1" applyAlignment="1" applyProtection="1">
      <alignment horizontal="center" vertical="top"/>
      <protection locked="0"/>
    </xf>
    <xf numFmtId="0" fontId="18" fillId="3" borderId="12" xfId="0" applyFont="1" applyFill="1" applyBorder="1" applyAlignment="1" applyProtection="1">
      <alignment horizontal="center" vertical="top"/>
      <protection locked="0"/>
    </xf>
    <xf numFmtId="0" fontId="38" fillId="5" borderId="7" xfId="0" applyFont="1" applyFill="1" applyBorder="1" applyAlignment="1">
      <alignment horizontal="left" vertical="top" wrapText="1"/>
    </xf>
    <xf numFmtId="0" fontId="38" fillId="5" borderId="8" xfId="0" applyFont="1" applyFill="1" applyBorder="1" applyAlignment="1">
      <alignment horizontal="left" vertical="top" wrapText="1"/>
    </xf>
    <xf numFmtId="0" fontId="18" fillId="3" borderId="18" xfId="0" applyFont="1" applyFill="1" applyBorder="1" applyAlignment="1" applyProtection="1">
      <alignment horizontal="center" vertical="top"/>
      <protection locked="0"/>
    </xf>
    <xf numFmtId="0" fontId="18" fillId="3" borderId="8" xfId="0" applyFont="1" applyFill="1" applyBorder="1" applyAlignment="1" applyProtection="1">
      <alignment horizontal="center" vertical="top"/>
      <protection locked="0"/>
    </xf>
    <xf numFmtId="0" fontId="18" fillId="3" borderId="9" xfId="0" applyFont="1" applyFill="1" applyBorder="1" applyAlignment="1" applyProtection="1">
      <alignment horizontal="center" vertical="top"/>
      <protection locked="0"/>
    </xf>
    <xf numFmtId="0" fontId="38" fillId="5" borderId="13" xfId="0" applyFont="1" applyFill="1" applyBorder="1" applyAlignment="1">
      <alignment horizontal="left" vertical="top" wrapText="1"/>
    </xf>
    <xf numFmtId="0" fontId="38" fillId="5" borderId="3" xfId="0" applyFont="1" applyFill="1" applyBorder="1" applyAlignment="1">
      <alignment horizontal="left" vertical="top" wrapText="1"/>
    </xf>
    <xf numFmtId="0" fontId="18" fillId="12" borderId="4" xfId="0" applyFont="1" applyFill="1" applyBorder="1" applyAlignment="1">
      <alignment horizontal="left" vertical="center" wrapText="1"/>
    </xf>
    <xf numFmtId="0" fontId="18" fillId="12" borderId="5" xfId="0" applyFont="1" applyFill="1" applyBorder="1" applyAlignment="1">
      <alignment horizontal="left" vertical="center" wrapText="1"/>
    </xf>
    <xf numFmtId="0" fontId="18" fillId="12" borderId="6" xfId="0" applyFont="1" applyFill="1" applyBorder="1" applyAlignment="1">
      <alignment horizontal="left" vertical="center" wrapText="1"/>
    </xf>
    <xf numFmtId="0" fontId="18" fillId="13" borderId="4" xfId="0" applyFont="1" applyFill="1" applyBorder="1" applyAlignment="1">
      <alignment horizontal="left" vertical="center" wrapText="1"/>
    </xf>
    <xf numFmtId="0" fontId="18" fillId="13" borderId="5" xfId="0" applyFont="1" applyFill="1" applyBorder="1" applyAlignment="1">
      <alignment horizontal="left" vertical="center" wrapText="1"/>
    </xf>
    <xf numFmtId="0" fontId="18" fillId="13" borderId="6" xfId="0" applyFont="1" applyFill="1" applyBorder="1" applyAlignment="1">
      <alignment horizontal="left" vertical="center" wrapText="1"/>
    </xf>
    <xf numFmtId="0" fontId="19" fillId="4"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42" fillId="4" borderId="5" xfId="0" applyFont="1" applyFill="1" applyBorder="1" applyAlignment="1">
      <alignment horizontal="center" vertical="center" wrapText="1"/>
    </xf>
    <xf numFmtId="0" fontId="42" fillId="4" borderId="6" xfId="0" applyFont="1" applyFill="1" applyBorder="1" applyAlignment="1">
      <alignment horizontal="center" vertical="center" wrapText="1"/>
    </xf>
    <xf numFmtId="0" fontId="18" fillId="5" borderId="4" xfId="0" quotePrefix="1" applyFont="1" applyFill="1" applyBorder="1" applyAlignment="1">
      <alignment horizontal="center" vertical="top"/>
    </xf>
    <xf numFmtId="0" fontId="18" fillId="5" borderId="5" xfId="0" applyFont="1" applyFill="1" applyBorder="1" applyAlignment="1">
      <alignment horizontal="center" vertical="top"/>
    </xf>
    <xf numFmtId="0" fontId="18" fillId="5" borderId="34" xfId="0" applyFont="1" applyFill="1" applyBorder="1" applyAlignment="1">
      <alignment horizontal="center" vertical="top"/>
    </xf>
    <xf numFmtId="0" fontId="2" fillId="5" borderId="33"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2" fillId="5" borderId="35" xfId="0" applyFont="1" applyFill="1" applyBorder="1" applyAlignment="1">
      <alignment horizontal="left" vertical="top" wrapText="1"/>
    </xf>
    <xf numFmtId="0" fontId="2" fillId="5" borderId="36" xfId="0" applyFont="1" applyFill="1" applyBorder="1" applyAlignment="1">
      <alignment horizontal="left" vertical="top" wrapText="1"/>
    </xf>
    <xf numFmtId="0" fontId="2" fillId="5" borderId="18" xfId="0" applyFont="1" applyFill="1" applyBorder="1" applyAlignment="1">
      <alignment horizontal="left" vertical="top" wrapText="1"/>
    </xf>
    <xf numFmtId="0" fontId="18" fillId="5" borderId="28" xfId="0" quotePrefix="1" applyFont="1" applyFill="1" applyBorder="1" applyAlignment="1">
      <alignment horizontal="center" vertical="top"/>
    </xf>
    <xf numFmtId="0" fontId="18" fillId="5" borderId="36" xfId="0" applyFont="1" applyFill="1" applyBorder="1" applyAlignment="1">
      <alignment horizontal="center" vertical="top"/>
    </xf>
    <xf numFmtId="0" fontId="18" fillId="5" borderId="37" xfId="0" applyFont="1" applyFill="1" applyBorder="1" applyAlignment="1">
      <alignment horizontal="center" vertical="top"/>
    </xf>
    <xf numFmtId="0" fontId="38" fillId="5" borderId="25" xfId="0" applyFont="1" applyFill="1" applyBorder="1" applyAlignment="1">
      <alignment horizontal="left" vertical="top" wrapText="1"/>
    </xf>
    <xf numFmtId="0" fontId="38" fillId="5" borderId="23" xfId="0" applyFont="1" applyFill="1" applyBorder="1" applyAlignment="1">
      <alignment horizontal="left" vertical="top" wrapText="1"/>
    </xf>
    <xf numFmtId="0" fontId="38" fillId="5" borderId="17" xfId="0" applyFont="1" applyFill="1" applyBorder="1" applyAlignment="1">
      <alignment horizontal="left" vertical="top" wrapText="1"/>
    </xf>
    <xf numFmtId="0" fontId="19" fillId="4" borderId="3" xfId="0" applyFont="1" applyFill="1" applyBorder="1" applyAlignment="1">
      <alignment horizontal="left" vertical="center" wrapText="1"/>
    </xf>
    <xf numFmtId="0" fontId="18" fillId="3" borderId="22" xfId="0" applyFont="1" applyFill="1" applyBorder="1" applyAlignment="1">
      <alignment horizontal="center" vertical="top"/>
    </xf>
    <xf numFmtId="0" fontId="18" fillId="3" borderId="23" xfId="0" applyFont="1" applyFill="1" applyBorder="1" applyAlignment="1">
      <alignment horizontal="center" vertical="top"/>
    </xf>
    <xf numFmtId="0" fontId="18" fillId="3" borderId="24" xfId="0" applyFont="1" applyFill="1" applyBorder="1" applyAlignment="1">
      <alignment horizontal="center" vertical="top"/>
    </xf>
    <xf numFmtId="0" fontId="38" fillId="5" borderId="33" xfId="0" applyFont="1" applyFill="1" applyBorder="1" applyAlignment="1">
      <alignment horizontal="left" vertical="top" wrapText="1"/>
    </xf>
    <xf numFmtId="0" fontId="38" fillId="5" borderId="5" xfId="0" applyFont="1" applyFill="1" applyBorder="1" applyAlignment="1">
      <alignment horizontal="left" vertical="top" wrapText="1"/>
    </xf>
    <xf numFmtId="0" fontId="38" fillId="5" borderId="6" xfId="0" applyFont="1" applyFill="1" applyBorder="1" applyAlignment="1">
      <alignment horizontal="left" vertical="top" wrapText="1"/>
    </xf>
    <xf numFmtId="0" fontId="18" fillId="3" borderId="4" xfId="0" applyFont="1" applyFill="1" applyBorder="1" applyAlignment="1">
      <alignment horizontal="center" vertical="top"/>
    </xf>
    <xf numFmtId="0" fontId="0" fillId="0" borderId="5" xfId="0" applyBorder="1" applyAlignment="1">
      <alignment horizontal="center" vertical="top"/>
    </xf>
    <xf numFmtId="0" fontId="0" fillId="0" borderId="34" xfId="0" applyBorder="1" applyAlignment="1">
      <alignment horizontal="center" vertical="top"/>
    </xf>
  </cellXfs>
  <cellStyles count="3">
    <cellStyle name="Hyperkobling" xfId="1" builtinId="8"/>
    <cellStyle name="Normal" xfId="0" builtinId="0"/>
    <cellStyle name="Prosent" xfId="2" builtinId="5"/>
  </cellStyles>
  <dxfs count="79">
    <dxf>
      <alignment horizontal="left" vertical="bottom" textRotation="0" wrapText="0" indent="0" justifyLastLine="0" shrinkToFit="0" readingOrder="0"/>
    </dxf>
    <dxf>
      <alignment horizontal="righ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center" vertical="top" textRotation="0" wrapText="1" indent="0" justifyLastLine="0" shrinkToFit="0" readingOrder="0"/>
      <border diagonalUp="0" diagonalDown="0">
        <left style="thin">
          <color indexed="64"/>
        </left>
        <right/>
        <top/>
        <bottom style="thin">
          <color indexed="64"/>
        </bottom>
        <vertical style="thin">
          <color indexed="64"/>
        </vertic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bottom style="thin">
          <color indexed="64"/>
        </bottom>
        <vertical style="thin">
          <color indexed="64"/>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0"/>
        </patternFill>
      </fill>
    </dxf>
    <dxf>
      <border>
        <bottom style="thin">
          <color indexed="64"/>
        </bottom>
      </border>
    </dxf>
    <dxf>
      <font>
        <strike val="0"/>
        <outline val="0"/>
        <shadow val="0"/>
        <u val="none"/>
        <vertAlign val="baseline"/>
        <sz val="11"/>
        <color rgb="FFFF0000"/>
        <name val="Calibri"/>
        <family val="2"/>
        <scheme val="minor"/>
      </font>
      <border diagonalUp="0" diagonalDown="0">
        <left style="thin">
          <color indexed="64"/>
        </left>
        <right style="thin">
          <color indexed="64"/>
        </right>
        <top/>
        <bottom/>
        <vertical style="thin">
          <color indexed="64"/>
        </vertical>
      </border>
    </dxf>
    <dxf>
      <font>
        <strike val="0"/>
        <outline val="0"/>
        <shadow val="0"/>
        <u val="none"/>
        <vertAlign val="baseline"/>
        <sz val="11"/>
        <color theme="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none">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tint="-4.9989318521683403E-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strike val="0"/>
        <outline val="0"/>
        <shadow val="0"/>
        <u val="none"/>
        <vertAlign val="baseline"/>
        <sz val="11"/>
        <color theme="1"/>
        <name val="Calibri"/>
        <family val="2"/>
        <scheme val="minor"/>
      </font>
      <fill>
        <patternFill patternType="none">
          <bgColor auto="1"/>
        </patternFill>
      </fill>
      <alignment textRotation="0" wrapText="1" indent="0" justifyLastLine="0" shrinkToFit="0" readingOrder="0"/>
    </dxf>
    <dxf>
      <fill>
        <patternFill>
          <bgColor rgb="FFC6E0B4"/>
        </patternFill>
      </fill>
    </dxf>
    <dxf>
      <fill>
        <patternFill>
          <bgColor rgb="FFF8CBAD"/>
        </patternFill>
      </fill>
    </dxf>
    <dxf>
      <fill>
        <patternFill>
          <bgColor rgb="FFFFE699"/>
        </patternFill>
      </fill>
    </dxf>
    <dxf>
      <fill>
        <patternFill>
          <bgColor rgb="FF538DD5"/>
        </patternFill>
      </fill>
    </dxf>
    <dxf>
      <fill>
        <patternFill>
          <bgColor rgb="FFCC99FF"/>
        </patternFill>
      </fill>
    </dxf>
    <dxf>
      <fill>
        <patternFill>
          <bgColor rgb="FFCCCCFF"/>
        </patternFill>
      </fill>
    </dxf>
    <dxf>
      <font>
        <color theme="1" tint="0.24994659260841701"/>
      </font>
      <fill>
        <patternFill patternType="solid">
          <bgColor theme="1" tint="0.14996795556505021"/>
        </patternFill>
      </fill>
    </dxf>
    <dxf>
      <numFmt numFmtId="164" formatCode=";;;"/>
    </dxf>
    <dxf>
      <fill>
        <patternFill>
          <bgColor rgb="FFC6E0B4"/>
        </patternFill>
      </fill>
    </dxf>
    <dxf>
      <fill>
        <patternFill>
          <bgColor rgb="FFF8CBAD"/>
        </patternFill>
      </fill>
    </dxf>
    <dxf>
      <fill>
        <patternFill>
          <bgColor rgb="FFFFE699"/>
        </patternFill>
      </fill>
    </dxf>
    <dxf>
      <fill>
        <patternFill>
          <bgColor rgb="FF538DD5"/>
        </patternFill>
      </fill>
    </dxf>
    <dxf>
      <fill>
        <patternFill>
          <bgColor rgb="FFCC99FF"/>
        </patternFill>
      </fill>
    </dxf>
    <dxf>
      <fill>
        <patternFill>
          <bgColor rgb="FFCCCCFF"/>
        </patternFill>
      </fill>
    </dxf>
    <dxf>
      <numFmt numFmtId="164" formatCode=";;;"/>
    </dxf>
    <dxf>
      <font>
        <color rgb="FFFF0000"/>
      </font>
    </dxf>
    <dxf>
      <font>
        <color theme="1" tint="0.24994659260841701"/>
      </font>
      <fill>
        <patternFill patternType="solid">
          <bgColor theme="1" tint="0.14996795556505021"/>
        </patternFill>
      </fill>
    </dxf>
    <dxf>
      <font>
        <color theme="2" tint="-0.499984740745262"/>
      </font>
      <fill>
        <patternFill>
          <bgColor theme="1" tint="0.499984740745262"/>
        </patternFill>
      </fill>
    </dxf>
    <dxf>
      <fill>
        <patternFill patternType="solid">
          <fgColor indexed="64"/>
          <bgColor theme="0"/>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dxf>
    <dxf>
      <numFmt numFmtId="0" formatCode="General"/>
    </dxf>
    <dxf>
      <border outline="0">
        <top style="thin">
          <color indexed="64"/>
        </top>
        <bottom style="thin">
          <color indexed="64"/>
        </bottom>
      </border>
    </dxf>
    <dxf>
      <font>
        <color rgb="FFFF0000"/>
      </font>
    </dxf>
    <dxf>
      <font>
        <color theme="2" tint="-0.499984740745262"/>
      </font>
      <fill>
        <patternFill>
          <bgColor theme="1" tint="0.499984740745262"/>
        </patternFill>
      </fill>
    </dxf>
    <dxf>
      <numFmt numFmtId="164" formatCode=";;;"/>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numFmt numFmtId="0" formatCode="General"/>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4"/>
        <name val="Calibri"/>
        <family val="2"/>
        <scheme val="none"/>
      </font>
      <fill>
        <patternFill patternType="solid">
          <fgColor indexed="64"/>
          <bgColor theme="2"/>
        </patternFill>
      </fill>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rgb="FFFFFFFF"/>
        <name val="Calibri"/>
        <family val="2"/>
        <scheme val="none"/>
      </font>
      <fill>
        <patternFill patternType="solid">
          <fgColor indexed="64"/>
          <bgColor rgb="FF1F4E7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bgColor auto="1"/>
        </patternFill>
      </fill>
    </dxf>
    <dxf>
      <fill>
        <patternFill>
          <fgColor theme="0"/>
        </patternFill>
      </fill>
    </dxf>
  </dxfs>
  <tableStyles count="1" defaultTableStyle="TableStyleMedium2" defaultPivotStyle="PivotStyleLight16">
    <tableStyle name="Tabellstil 1" pivot="0" count="2" xr9:uid="{8ACECB4B-8E0D-4379-9968-1625C18CAC05}">
      <tableStyleElement type="firstRowStripe" dxfId="78"/>
      <tableStyleElement type="secondRowStripe" dxfId="77"/>
    </tableStyle>
  </tableStyles>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ykehusinnkjop.sharepoint.com/sites/Divisjonlegemidler/Dokumenter%20Anskaffelser/Evalueringsmodeller/Evalueringsskjema/MASTER/TNF%20Eksempel%20Evalueringsskjema%20M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iledning"/>
      <sheetName val="Evaluering"/>
      <sheetName val="Rangering"/>
      <sheetName val="Pris ganger volum"/>
      <sheetName val="Oppslag"/>
      <sheetName val="Vektingsoppslag"/>
      <sheetName val="Miljø leverandørnivå"/>
      <sheetName val="Endringslogg"/>
    </sheetNames>
    <sheetDataSet>
      <sheetData sheetId="0"/>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Hanne Gade Aamodt" id="{508EFF2A-B024-49EF-AA78-96FA96E12D6F}" userId="" providerId=""/>
  <person displayName="Ole-Morten Munz" id="{85F68954-7FF2-4E44-AF45-A1A7FC499940}" userId="Ole-Morten Munz"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CC7C-66DB-402F-8C3E-9238C92815B5}" name="tabell_anskaffelsens_innhold" displayName="tabell_anskaffelsens_innhold" ref="B7:N155" totalsRowShown="0" headerRowDxfId="76" dataDxfId="74" headerRowBorderDxfId="75" tableBorderDxfId="73" totalsRowBorderDxfId="72">
  <autoFilter ref="B7:N155" xr:uid="{175FDEF3-1266-42A3-B23E-3D143C876151}"/>
  <sortState xmlns:xlrd2="http://schemas.microsoft.com/office/spreadsheetml/2017/richdata2" ref="B8:N59">
    <sortCondition ref="C7:C59"/>
  </sortState>
  <tableColumns count="13">
    <tableColumn id="1" xr3:uid="{D14EA8D4-7BE8-4531-B4E3-5053D74239DD}" name="Delleveranse" dataDxfId="71"/>
    <tableColumn id="2" xr3:uid="{D859F5BC-8923-4670-910C-7318A8255630}" name="ATC" dataDxfId="70"/>
    <tableColumn id="3" xr3:uid="{E5915946-402B-4C2C-B9C4-73C30A43A606}" name="Virkestoff" dataDxfId="69"/>
    <tableColumn id="4" xr3:uid="{65E77A93-9220-4992-9385-243CA8DECDA3}" name="Legemiddelformgruppe" dataDxfId="68"/>
    <tableColumn id="5" xr3:uid="{8F3A1D9E-83DA-458E-9864-92CD56C94846}" name="Bruksparameter Sykehusinnkjøp" dataDxfId="67"/>
    <tableColumn id="6" xr3:uid="{DDFC587F-8769-4495-9AD1-CB72B95B7D6F}" name="Parallell avtale Ja/nei" dataDxfId="66"/>
    <tableColumn id="7" xr3:uid="{560E3D84-37CF-4B73-8C8A-A4760C1723A9}" name="Begrunnelse for parallell avtale" dataDxfId="65"/>
    <tableColumn id="8" xr3:uid="{30235324-D555-462C-A0D0-430BD76D9E06}" name="Forventet lager hos grossist i Norge (B180, G2021) (inntil antall dager)" dataDxfId="64"/>
    <tableColumn id="9" xr3:uid="{7AA63B6B-B57C-476A-B11A-2D05F69611B0}" name="Kravsett for delleveranse" dataDxfId="63">
      <calculatedColumnFormula>tabell_anskaffelsens_innhold[[#This Row],[Kravsett 1]]&amp;" "&amp;tabell_anskaffelsens_innhold[[#This Row],[Kravsett 2]]&amp;" "&amp;tabell_anskaffelsens_innhold[[#This Row],[Kravsett 3]]&amp;" "&amp;tabell_anskaffelsens_innhold[[#This Row],[Kravsett 4]]</calculatedColumnFormula>
    </tableColumn>
    <tableColumn id="10" xr3:uid="{0FA3EEE6-AC8F-40FE-93B3-3B7598D19D35}" name="Kravsett 1" dataDxfId="62"/>
    <tableColumn id="11" xr3:uid="{4488F69F-926A-46E6-AF2B-81ED0E67DA25}" name="Kravsett 2" dataDxfId="61"/>
    <tableColumn id="12" xr3:uid="{E343ED8B-32F4-437F-9FC5-FC90C843446D}" name="Kravsett 3" dataDxfId="60"/>
    <tableColumn id="13" xr3:uid="{793BE926-C474-4466-81C5-B3A5C32C95E8}" name="Kravsett 4" dataDxfId="59"/>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19DF0E-649D-451C-8280-1FAEF5E4FA6D}" name="tabell_leverandorkrav" displayName="tabell_leverandorkrav" ref="B26:M28" totalsRowShown="0" tableBorderDxfId="55">
  <tableColumns count="12">
    <tableColumn id="10" xr3:uid="{0660F292-CA97-4BE9-8EC5-267883A26ECA}" name="Anskaffelse" dataDxfId="54">
      <calculatedColumnFormula>navn_Anskaffelseskode</calculatedColumnFormula>
    </tableColumn>
    <tableColumn id="11" xr3:uid="{48F149F0-049A-471B-B2C4-6FED0837BAEC}" name="Delleveranse" dataDxfId="53">
      <calculatedColumnFormula>navn_delleveranse</calculatedColumnFormula>
    </tableColumn>
    <tableColumn id="1" xr3:uid="{CE8FFAD4-64A6-4357-9FC1-DB1816C97A31}" name="Ref." dataDxfId="52"/>
    <tableColumn id="12" xr3:uid="{BAB69E23-A545-4220-8F65-77C58231B459}" name="Kravsett" dataDxfId="51"/>
    <tableColumn id="2" xr3:uid="{494CCF96-7EAD-4611-8416-25829B13AC91}" name="Overskrift for krav" dataDxfId="50"/>
    <tableColumn id="3" xr3:uid="{35586A94-A38B-4B4D-819F-9E13A6DCA83D}" name="Beskrivelse av krav" dataDxfId="49"/>
    <tableColumn id="4" xr3:uid="{DF3CE387-6449-409E-8583-0E626CFC1AB5}" name="Krav-_x000a_type" dataDxfId="48"/>
    <tableColumn id="5" xr3:uid="{A34365F2-73F5-439A-B9BB-67F01C7E4F8C}" name="Tildelingskriterier" dataDxfId="47"/>
    <tableColumn id="6" xr3:uid="{58D13B2C-B97E-498E-A910-4632CB34F2E9}" name="Utfyllende informasjon til tilbyder" dataDxfId="46"/>
    <tableColumn id="7" xr3:uid="{6767B17C-C67F-40A4-921E-29F256A606C7}" name="Velg svaralternativ i listen" dataDxfId="45"/>
    <tableColumn id="8" xr3:uid="{7B6A06C0-8530-48EB-85AA-39EC673A6491}" name="Utfyllende besvarelse" dataDxfId="44"/>
    <tableColumn id="9" xr3:uid="{605CBA6F-340E-4049-AAE3-4A563005DA18}" name="Evt. lenke eller henvisning til vedlegg" dataDxfId="43"/>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004393-9AB8-493F-9551-FF2FA302A336}" name="tabell_produktkrav_1" displayName="tabell_produktkrav_1" ref="B39:M70" totalsRowShown="0" dataDxfId="24" tableBorderDxfId="23">
  <tableColumns count="12">
    <tableColumn id="14" xr3:uid="{55920328-33F8-4813-A757-0942963D5542}" name="Anskaffelse" dataDxfId="22">
      <calculatedColumnFormula>navn_Anskaffelseskode</calculatedColumnFormula>
    </tableColumn>
    <tableColumn id="15" xr3:uid="{B3610844-17DB-4299-8C9B-48686F7C765E}" name="Delleveranse" dataDxfId="21">
      <calculatedColumnFormula>navn_delleveranse</calculatedColumnFormula>
    </tableColumn>
    <tableColumn id="1" xr3:uid="{10E5D9BC-B014-46CA-970B-29936C9DBA80}" name="Ref." dataDxfId="20"/>
    <tableColumn id="10" xr3:uid="{8F670D5A-B57F-41DA-A595-9C8BDFA4418C}" name="Kravsett" dataDxfId="19"/>
    <tableColumn id="2" xr3:uid="{69B5C78A-56BA-4CF4-91D4-718C1850FF78}" name="Kravetikett" dataDxfId="18"/>
    <tableColumn id="3" xr3:uid="{119F4A60-C56D-4AB3-B80C-E9CAC60B78C6}" name="Beskrivelse av krav" dataDxfId="17"/>
    <tableColumn id="4" xr3:uid="{A30C8266-630F-4EB7-AD07-C02E2A060F73}" name="Krav-_x000a_type" dataDxfId="16"/>
    <tableColumn id="5" xr3:uid="{4EBCB7A6-A1F8-442C-A246-91BC0D115063}" name="Tildelingskriterier" dataDxfId="15"/>
    <tableColumn id="6" xr3:uid="{78171111-70B3-4533-9F8E-F9185AB25FF5}" name="Utfyllende informasjon til tilbyder" dataDxfId="14"/>
    <tableColumn id="7" xr3:uid="{AB0A2235-E085-470F-A17B-EF0AAB84B566}" name="Velg svaralternativ i listen hvis mulig" dataDxfId="13"/>
    <tableColumn id="8" xr3:uid="{877A3553-C192-45F7-B995-5253A03C4F89}" name="Utfyllende besvarelse" dataDxfId="12"/>
    <tableColumn id="9" xr3:uid="{1BB060FD-2FB2-4C1B-8EB6-BA242D9106A3}" name="Evt. lenke eller henvisning til vedlegg" dataDxfId="11"/>
  </tableColumns>
  <tableStyleInfo name="Tabellstil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FA8845E-4DF9-49B8-91B2-EC5A54FB61F2}" name="tabell_varenummer" displayName="tabell_varenummer" ref="D28:E33" totalsRowShown="0" headerRowDxfId="10" dataDxfId="8" headerRowBorderDxfId="9" tableBorderDxfId="7" totalsRowBorderDxfId="6">
  <tableColumns count="2">
    <tableColumn id="1" xr3:uid="{45CE1FFB-E8A2-43F0-B0B1-7A388014EB93}" name="Varenr" dataDxfId="5"/>
    <tableColumn id="2" xr3:uid="{E93718B8-9CC8-49B2-9BCE-CFEC69AC8CEA}" name="Varenavn" dataDxfId="4"/>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AF2ED-C702-487D-8739-803EA6753523}" name="tabell_lister" displayName="tabell_lister" ref="A42:O72" totalsRowShown="0" headerRowDxfId="3">
  <autoFilter ref="A42:O72" xr:uid="{8A6E9CFF-5150-490B-AA18-289D71A23909}"/>
  <tableColumns count="15">
    <tableColumn id="1" xr3:uid="{A453FCAF-C886-4E0A-9317-1E0D3E12B7BE}" name="Børkrav ja/nei"/>
    <tableColumn id="2" xr3:uid="{8D9A4DFA-95AD-4A4E-95E6-B080621DEDA2}" name="B180 krav"/>
    <tableColumn id="3" xr3:uid="{11CE6E6D-61AD-4CCF-A58B-823159486455}" name="Bør-Krav til lager (LP1)"/>
    <tableColumn id="4" xr3:uid="{7BC4C389-7FDD-491D-AEC9-9B597F060830}" name="Antall EU-land land med salg"/>
    <tableColumn id="5" xr3:uid="{F0E0B354-1AF3-4422-B5CF-33CF6E089788}" name="Skalkrav lager ved oppstart"/>
    <tableColumn id="6" xr3:uid="{7E0A81A7-4AE1-4499-A0C4-B18A140BAD5A}" name="Skalkrav JA"/>
    <tableColumn id="7" xr3:uid="{706FE137-57E3-4C5A-B628-43938DC6D88F}" name="Kravtype"/>
    <tableColumn id="10" xr3:uid="{95F02659-E104-4797-BA1B-87E8D8783FD6}" name="MT-land i EU/EØS"/>
    <tableColumn id="8" xr3:uid="{4AEBF696-1CF8-4C89-B364-BA9EBFF1F05A}" name="Tildelingskriterier" dataDxfId="2"/>
    <tableColumn id="9" xr3:uid="{45CF727A-7F43-4C1A-BA3B-190ADE924FC4}" name="Vektingsprosent " dataDxfId="1" dataCellStyle="Prosent"/>
    <tableColumn id="11" xr3:uid="{718C8D80-40AF-4A6F-BED8-B3CF2B5AA104}" name="Vektingsprosent alternativ 2"/>
    <tableColumn id="12" xr3:uid="{ACD42378-233D-4B68-BD4B-CCCBE09B2200}" name="Skalkrav likeverdighet" dataDxfId="0"/>
    <tableColumn id="13" xr3:uid="{D8AF74BF-94A2-4EEA-81D7-87D738851F6B}" name="Emballasjetype tab/kaps"/>
    <tableColumn id="14" xr3:uid="{D99FB2AA-DF70-4DBA-9E60-1F03662D8772}" name="Språk på pakning/SPC"/>
    <tableColumn id="15" xr3:uid="{23A1E29C-98F8-4923-90D4-81EFF9FAFEF1}" name="Papaverin"/>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6" dT="2022-03-04T10:34:59.06" personId="{508EFF2A-B024-49EF-AA78-96FA96E12D6F}" id="{AB09BA2B-4D49-420D-BE21-AE5EEBC9BC38}">
    <text xml:space="preserve">Hva hvis det leveres tilbud på produkter med ulike språk, bør denne teksten endres slik at det er samsvar med pkt. 3.1 i Konkurransebestemmelsene. </text>
  </threadedComment>
</ThreadedComments>
</file>

<file path=xl/threadedComments/threadedComment2.xml><?xml version="1.0" encoding="utf-8"?>
<ThreadedComments xmlns="http://schemas.microsoft.com/office/spreadsheetml/2018/threadedcomments" xmlns:x="http://schemas.openxmlformats.org/spreadsheetml/2006/main">
  <threadedComment ref="G15" dT="2022-03-04T10:35:48.04" personId="{508EFF2A-B024-49EF-AA78-96FA96E12D6F}" id="{30D21107-ACB9-4AB2-8B21-A0688A85E2EA}">
    <text>Fjernes det som er markert i grått?</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1-06-10T13:22:42.00" personId="{85F68954-7FF2-4E44-AF45-A1A7FC499940}" id="{E9A395FD-12B0-4BD7-89E7-15C75ED3F80D}">
    <text>Sett inn sammenslått streng for typ filnavn..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A94B-5083-425B-B851-8CF460BE8B15}">
  <dimension ref="B1:B11"/>
  <sheetViews>
    <sheetView topLeftCell="B1" workbookViewId="0">
      <selection activeCell="B1" sqref="B1"/>
    </sheetView>
  </sheetViews>
  <sheetFormatPr baseColWidth="10" defaultColWidth="11.42578125" defaultRowHeight="15" x14ac:dyDescent="0.25"/>
  <cols>
    <col min="1" max="1" width="5.5703125" style="1" customWidth="1"/>
    <col min="2" max="2" width="56.42578125" style="1" customWidth="1"/>
    <col min="3" max="16384" width="11.42578125" style="1"/>
  </cols>
  <sheetData>
    <row r="1" spans="2:2" ht="21" x14ac:dyDescent="0.25">
      <c r="B1" s="9" t="str">
        <f>CONCATENATE(navn_Anskaffelseskode," Vedlegg ",Dokumentnummer," Kravspesifikasjon ", Dokumentnavn)</f>
        <v>2301d Vedlegg 02 Kravspesifikasjon Uregistrerte legemidler</v>
      </c>
    </row>
    <row r="4" spans="2:2" ht="21" x14ac:dyDescent="0.25">
      <c r="B4" s="3" t="s">
        <v>0</v>
      </c>
    </row>
    <row r="5" spans="2:2" x14ac:dyDescent="0.25">
      <c r="B5" s="4"/>
    </row>
    <row r="6" spans="2:2" x14ac:dyDescent="0.25">
      <c r="B6" s="4" t="s">
        <v>1</v>
      </c>
    </row>
    <row r="7" spans="2:2" x14ac:dyDescent="0.25">
      <c r="B7" s="5" t="s">
        <v>2</v>
      </c>
    </row>
    <row r="8" spans="2:2" x14ac:dyDescent="0.25">
      <c r="B8" s="7" t="s">
        <v>3</v>
      </c>
    </row>
    <row r="9" spans="2:2" x14ac:dyDescent="0.25">
      <c r="B9" s="7" t="s">
        <v>4</v>
      </c>
    </row>
    <row r="10" spans="2:2" x14ac:dyDescent="0.25">
      <c r="B10" s="7" t="s">
        <v>5</v>
      </c>
    </row>
    <row r="11" spans="2:2" x14ac:dyDescent="0.25">
      <c r="B11" s="6"/>
    </row>
  </sheetData>
  <hyperlinks>
    <hyperlink ref="B7" location="'2. Forklaring til kravspes.'!A1" display="-          Forklaring til kravspesifikasjonen " xr:uid="{A1515FB0-B9C4-4C2E-9E64-0AFBE5A71F6B}"/>
    <hyperlink ref="B9" location="'4. Krav til lev.'!A1" display="-          Krav til leverandøren" xr:uid="{AF98C184-BE6C-41F0-931A-2B12D0CB4E13}"/>
    <hyperlink ref="B10" location="'5. Krav til prod.'!A1" display="-          Krav til produktene" xr:uid="{9853E44D-9E52-4FBA-BC19-E3AA24FF938E}"/>
    <hyperlink ref="B8" location="'3. Anskaffelsen'!A1" display="-          Anskaffelsens innhold" xr:uid="{95A30338-28D7-4F2C-9A2E-B4BAFF37366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F89-B2EC-476E-B6AC-3E3A3FF9B221}">
  <dimension ref="B3:B31"/>
  <sheetViews>
    <sheetView showGridLines="0" workbookViewId="0">
      <selection activeCell="B26" sqref="B26"/>
    </sheetView>
  </sheetViews>
  <sheetFormatPr baseColWidth="10" defaultColWidth="11.42578125" defaultRowHeight="15" x14ac:dyDescent="0.25"/>
  <cols>
    <col min="1" max="1" width="5.5703125" style="1" customWidth="1"/>
    <col min="2" max="2" width="208.5703125" style="2" customWidth="1"/>
    <col min="3" max="16384" width="11.42578125" style="1"/>
  </cols>
  <sheetData>
    <row r="3" spans="2:2" ht="21" x14ac:dyDescent="0.25">
      <c r="B3" s="102" t="s">
        <v>6</v>
      </c>
    </row>
    <row r="4" spans="2:2" ht="14.25" customHeight="1" x14ac:dyDescent="0.25"/>
    <row r="5" spans="2:2" x14ac:dyDescent="0.25">
      <c r="B5" s="103" t="s">
        <v>7</v>
      </c>
    </row>
    <row r="6" spans="2:2" ht="30" x14ac:dyDescent="0.25">
      <c r="B6" s="103" t="s">
        <v>8</v>
      </c>
    </row>
    <row r="7" spans="2:2" x14ac:dyDescent="0.25">
      <c r="B7" s="104"/>
    </row>
    <row r="8" spans="2:2" ht="45" x14ac:dyDescent="0.25">
      <c r="B8" s="103" t="s">
        <v>9</v>
      </c>
    </row>
    <row r="9" spans="2:2" x14ac:dyDescent="0.25">
      <c r="B9" s="103"/>
    </row>
    <row r="10" spans="2:2" x14ac:dyDescent="0.25">
      <c r="B10" s="103" t="s">
        <v>10</v>
      </c>
    </row>
    <row r="11" spans="2:2" x14ac:dyDescent="0.25">
      <c r="B11" s="103"/>
    </row>
    <row r="12" spans="2:2" ht="45" x14ac:dyDescent="0.25">
      <c r="B12" s="103" t="s">
        <v>11</v>
      </c>
    </row>
    <row r="13" spans="2:2" x14ac:dyDescent="0.25">
      <c r="B13" s="103"/>
    </row>
    <row r="14" spans="2:2" ht="30" x14ac:dyDescent="0.25">
      <c r="B14" s="105" t="s">
        <v>12</v>
      </c>
    </row>
    <row r="15" spans="2:2" x14ac:dyDescent="0.25">
      <c r="B15" s="103"/>
    </row>
    <row r="16" spans="2:2" x14ac:dyDescent="0.25">
      <c r="B16" s="106" t="s">
        <v>13</v>
      </c>
    </row>
    <row r="17" spans="2:2" x14ac:dyDescent="0.25">
      <c r="B17" s="43" t="s">
        <v>14</v>
      </c>
    </row>
    <row r="18" spans="2:2" x14ac:dyDescent="0.25">
      <c r="B18" s="103"/>
    </row>
    <row r="19" spans="2:2" x14ac:dyDescent="0.25">
      <c r="B19" s="106" t="s">
        <v>15</v>
      </c>
    </row>
    <row r="20" spans="2:2" x14ac:dyDescent="0.25">
      <c r="B20" s="106"/>
    </row>
    <row r="21" spans="2:2" x14ac:dyDescent="0.25">
      <c r="B21" s="106" t="s">
        <v>16</v>
      </c>
    </row>
    <row r="23" spans="2:2" ht="21" x14ac:dyDescent="0.25">
      <c r="B23" s="107" t="s">
        <v>17</v>
      </c>
    </row>
    <row r="24" spans="2:2" x14ac:dyDescent="0.25">
      <c r="B24" s="43" t="s">
        <v>18</v>
      </c>
    </row>
    <row r="25" spans="2:2" ht="21" x14ac:dyDescent="0.25">
      <c r="B25" s="107" t="s">
        <v>19</v>
      </c>
    </row>
    <row r="26" spans="2:2" x14ac:dyDescent="0.25">
      <c r="B26" s="43" t="s">
        <v>20</v>
      </c>
    </row>
    <row r="30" spans="2:2" x14ac:dyDescent="0.25">
      <c r="B30" s="8"/>
    </row>
    <row r="31" spans="2:2" x14ac:dyDescent="0.25">
      <c r="B31" s="8"/>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69D8-8D8B-43EF-82DE-CE9C244CD5E5}">
  <dimension ref="B1:N155"/>
  <sheetViews>
    <sheetView tabSelected="1" zoomScale="110" zoomScaleNormal="110" workbookViewId="0">
      <pane xSplit="1" ySplit="7" topLeftCell="B8" activePane="bottomRight" state="frozen"/>
      <selection pane="topRight" activeCell="B1" sqref="B1"/>
      <selection pane="bottomLeft" activeCell="A8" sqref="A8"/>
      <selection pane="bottomRight" activeCell="D10" sqref="D10"/>
    </sheetView>
  </sheetViews>
  <sheetFormatPr baseColWidth="10" defaultColWidth="11.42578125" defaultRowHeight="15" x14ac:dyDescent="0.25"/>
  <cols>
    <col min="1" max="1" width="5.5703125" style="1" customWidth="1"/>
    <col min="2" max="2" width="16.5703125" style="1" customWidth="1"/>
    <col min="3" max="3" width="20.5703125" style="1" customWidth="1"/>
    <col min="4" max="4" width="49.5703125" style="1" customWidth="1"/>
    <col min="5" max="5" width="23.5703125" style="1" bestFit="1" customWidth="1"/>
    <col min="6" max="6" width="31.5703125" style="1" customWidth="1"/>
    <col min="7" max="7" width="22.7109375" style="1" customWidth="1"/>
    <col min="8" max="8" width="32" style="1" customWidth="1"/>
    <col min="9" max="9" width="39.42578125" style="1" customWidth="1"/>
    <col min="10" max="10" width="32.28515625" style="1" hidden="1" customWidth="1"/>
    <col min="11" max="14" width="19.5703125" style="1" customWidth="1"/>
    <col min="15" max="16384" width="11.42578125" style="1"/>
  </cols>
  <sheetData>
    <row r="1" spans="2:14" ht="21.75" customHeight="1" x14ac:dyDescent="0.25"/>
    <row r="2" spans="2:14" ht="21.75" customHeight="1" x14ac:dyDescent="0.25"/>
    <row r="3" spans="2:14" ht="33" customHeight="1" x14ac:dyDescent="0.25">
      <c r="B3" s="3" t="s">
        <v>21</v>
      </c>
      <c r="C3" s="3"/>
      <c r="D3" s="3"/>
      <c r="E3" s="6"/>
      <c r="F3" s="6"/>
      <c r="G3" s="6"/>
      <c r="H3" s="6"/>
      <c r="I3" s="6"/>
      <c r="J3" s="6"/>
      <c r="K3" s="6"/>
      <c r="L3" s="6"/>
      <c r="M3" s="6"/>
      <c r="N3" s="6"/>
    </row>
    <row r="4" spans="2:14" ht="15" customHeight="1" x14ac:dyDescent="0.25">
      <c r="B4" s="3"/>
      <c r="C4" s="3"/>
      <c r="D4" s="3"/>
      <c r="E4" s="6"/>
      <c r="F4" s="6"/>
      <c r="G4" s="6"/>
      <c r="H4" s="6"/>
      <c r="I4" s="6"/>
      <c r="J4" s="6"/>
      <c r="K4" s="6"/>
      <c r="L4" s="6"/>
      <c r="M4" s="6"/>
      <c r="N4" s="6"/>
    </row>
    <row r="5" spans="2:14" ht="27.75" customHeight="1" x14ac:dyDescent="0.25">
      <c r="B5" s="4" t="s">
        <v>22</v>
      </c>
      <c r="C5" s="4"/>
      <c r="D5" s="4"/>
      <c r="E5" s="6"/>
      <c r="F5" s="6"/>
      <c r="G5" s="6"/>
      <c r="H5" s="6"/>
      <c r="I5" s="6"/>
      <c r="J5" s="6"/>
      <c r="K5" s="6"/>
      <c r="L5" s="6"/>
      <c r="M5" s="6"/>
      <c r="N5" s="6"/>
    </row>
    <row r="6" spans="2:14" ht="18" customHeight="1" x14ac:dyDescent="0.25">
      <c r="B6" s="18" t="str">
        <f>CONCATENATE(navn_Anskaffelseskode," ",Dokumentnavn," ",Dokumentnummer," ",navn_Navn_på_kravspesifikasjon)</f>
        <v xml:space="preserve">2301d Uregistrerte legemidler 02 </v>
      </c>
      <c r="C6" s="4"/>
      <c r="D6" s="20"/>
      <c r="E6" s="6"/>
      <c r="F6" s="6"/>
      <c r="G6" s="6"/>
      <c r="H6" s="6"/>
      <c r="I6" s="6"/>
      <c r="J6" s="6" t="s">
        <v>23</v>
      </c>
      <c r="K6" s="136" t="s">
        <v>24</v>
      </c>
      <c r="L6" s="136"/>
      <c r="M6" s="136"/>
      <c r="N6" s="136"/>
    </row>
    <row r="7" spans="2:14" ht="39.75" customHeight="1" x14ac:dyDescent="0.25">
      <c r="B7" s="116" t="s">
        <v>25</v>
      </c>
      <c r="C7" s="117" t="s">
        <v>26</v>
      </c>
      <c r="D7" s="118" t="s">
        <v>27</v>
      </c>
      <c r="E7" s="117" t="s">
        <v>28</v>
      </c>
      <c r="F7" s="117" t="s">
        <v>29</v>
      </c>
      <c r="G7" s="117" t="s">
        <v>30</v>
      </c>
      <c r="H7" s="117" t="s">
        <v>31</v>
      </c>
      <c r="I7" s="117" t="s">
        <v>32</v>
      </c>
      <c r="J7" s="117" t="s">
        <v>33</v>
      </c>
      <c r="K7" s="117" t="s">
        <v>34</v>
      </c>
      <c r="L7" s="117" t="s">
        <v>35</v>
      </c>
      <c r="M7" s="117" t="s">
        <v>36</v>
      </c>
      <c r="N7" s="119" t="s">
        <v>37</v>
      </c>
    </row>
    <row r="8" spans="2:14" ht="39.950000000000003" customHeight="1" x14ac:dyDescent="0.25">
      <c r="B8" s="120">
        <v>1</v>
      </c>
      <c r="C8" s="115" t="s">
        <v>38</v>
      </c>
      <c r="D8" s="115" t="s">
        <v>39</v>
      </c>
      <c r="E8" s="115" t="s">
        <v>40</v>
      </c>
      <c r="F8" s="115" t="s">
        <v>41</v>
      </c>
      <c r="G8" s="115" t="s">
        <v>42</v>
      </c>
      <c r="H8" s="115" t="s">
        <v>43</v>
      </c>
      <c r="I8" s="115"/>
      <c r="J8" s="115" t="str">
        <f>tabell_anskaffelsens_innhold[[#This Row],[Kravsett 1]]&amp;" "&amp;tabell_anskaffelsens_innhold[[#This Row],[Kravsett 2]]&amp;" "&amp;tabell_anskaffelsens_innhold[[#This Row],[Kravsett 3]]&amp;" "&amp;tabell_anskaffelsens_innhold[[#This Row],[Kravsett 4]]</f>
        <v xml:space="preserve">Generelle Inj/inf A03AD01 Papaverin </v>
      </c>
      <c r="K8" s="115" t="s">
        <v>44</v>
      </c>
      <c r="L8" s="115" t="s">
        <v>45</v>
      </c>
      <c r="M8" s="115" t="s">
        <v>46</v>
      </c>
      <c r="N8" s="121"/>
    </row>
    <row r="9" spans="2:14" ht="39.950000000000003" customHeight="1" x14ac:dyDescent="0.25">
      <c r="B9" s="120">
        <v>2</v>
      </c>
      <c r="C9" s="115" t="s">
        <v>47</v>
      </c>
      <c r="D9" s="115" t="s">
        <v>48</v>
      </c>
      <c r="E9" s="115" t="s">
        <v>49</v>
      </c>
      <c r="F9" s="115" t="s">
        <v>41</v>
      </c>
      <c r="G9" s="115" t="s">
        <v>42</v>
      </c>
      <c r="H9" s="115" t="s">
        <v>43</v>
      </c>
      <c r="I9" s="115"/>
      <c r="J9" s="115" t="str">
        <f>tabell_anskaffelsens_innhold[[#This Row],[Kravsett 1]]&amp;" "&amp;tabell_anskaffelsens_innhold[[#This Row],[Kravsett 2]]&amp;" "&amp;tabell_anskaffelsens_innhold[[#This Row],[Kravsett 3]]&amp;" "&amp;tabell_anskaffelsens_innhold[[#This Row],[Kravsett 4]]</f>
        <v xml:space="preserve">Generelle Mikstur/dråper  </v>
      </c>
      <c r="K9" s="115" t="s">
        <v>44</v>
      </c>
      <c r="L9" s="115" t="s">
        <v>49</v>
      </c>
      <c r="M9" s="115"/>
      <c r="N9" s="121"/>
    </row>
    <row r="10" spans="2:14" ht="39.950000000000003" customHeight="1" x14ac:dyDescent="0.25">
      <c r="B10" s="120">
        <v>3</v>
      </c>
      <c r="C10" s="115" t="s">
        <v>50</v>
      </c>
      <c r="D10" s="115" t="s">
        <v>51</v>
      </c>
      <c r="E10" s="115" t="s">
        <v>40</v>
      </c>
      <c r="F10" s="115" t="s">
        <v>41</v>
      </c>
      <c r="G10" s="115" t="s">
        <v>42</v>
      </c>
      <c r="H10" s="115" t="s">
        <v>43</v>
      </c>
      <c r="I10" s="115"/>
      <c r="J10" s="115" t="str">
        <f>tabell_anskaffelsens_innhold[[#This Row],[Kravsett 1]]&amp;" "&amp;tabell_anskaffelsens_innhold[[#This Row],[Kravsett 2]]&amp;" "&amp;tabell_anskaffelsens_innhold[[#This Row],[Kravsett 3]]&amp;" "&amp;tabell_anskaffelsens_innhold[[#This Row],[Kravsett 4]]</f>
        <v xml:space="preserve">Generelle Inj/inf  </v>
      </c>
      <c r="K10" s="115" t="s">
        <v>44</v>
      </c>
      <c r="L10" s="115" t="s">
        <v>45</v>
      </c>
      <c r="M10" s="115"/>
      <c r="N10" s="121"/>
    </row>
    <row r="11" spans="2:14" ht="39.950000000000003" customHeight="1" x14ac:dyDescent="0.25">
      <c r="B11" s="120">
        <v>4</v>
      </c>
      <c r="C11" s="115" t="s">
        <v>52</v>
      </c>
      <c r="D11" s="115" t="s">
        <v>53</v>
      </c>
      <c r="E11" s="115" t="s">
        <v>40</v>
      </c>
      <c r="F11" s="115" t="s">
        <v>54</v>
      </c>
      <c r="G11" s="115" t="s">
        <v>42</v>
      </c>
      <c r="H11" s="115" t="s">
        <v>43</v>
      </c>
      <c r="I11" s="115"/>
      <c r="J11" s="115" t="str">
        <f>tabell_anskaffelsens_innhold[[#This Row],[Kravsett 1]]&amp;" "&amp;tabell_anskaffelsens_innhold[[#This Row],[Kravsett 2]]&amp;" "&amp;tabell_anskaffelsens_innhold[[#This Row],[Kravsett 3]]&amp;" "&amp;tabell_anskaffelsens_innhold[[#This Row],[Kravsett 4]]</f>
        <v xml:space="preserve">Generelle Inj/inf  </v>
      </c>
      <c r="K11" s="115" t="s">
        <v>44</v>
      </c>
      <c r="L11" s="115" t="s">
        <v>45</v>
      </c>
      <c r="M11" s="115"/>
      <c r="N11" s="121"/>
    </row>
    <row r="12" spans="2:14" ht="39.950000000000003" customHeight="1" x14ac:dyDescent="0.25">
      <c r="B12" s="120">
        <v>5</v>
      </c>
      <c r="C12" s="115" t="s">
        <v>52</v>
      </c>
      <c r="D12" s="115" t="s">
        <v>53</v>
      </c>
      <c r="E12" s="115" t="s">
        <v>55</v>
      </c>
      <c r="F12" s="115" t="s">
        <v>56</v>
      </c>
      <c r="G12" s="115" t="s">
        <v>42</v>
      </c>
      <c r="H12" s="115" t="s">
        <v>43</v>
      </c>
      <c r="I12" s="115"/>
      <c r="J12" s="115" t="str">
        <f>tabell_anskaffelsens_innhold[[#This Row],[Kravsett 1]]&amp;" "&amp;tabell_anskaffelsens_innhold[[#This Row],[Kravsett 2]]&amp;" "&amp;tabell_anskaffelsens_innhold[[#This Row],[Kravsett 3]]&amp;" "&amp;tabell_anskaffelsens_innhold[[#This Row],[Kravsett 4]]</f>
        <v xml:space="preserve">Generelle Tabletter/kapsler  </v>
      </c>
      <c r="K12" s="115" t="s">
        <v>44</v>
      </c>
      <c r="L12" s="115" t="s">
        <v>57</v>
      </c>
      <c r="M12" s="115"/>
      <c r="N12" s="121"/>
    </row>
    <row r="13" spans="2:14" ht="39.950000000000003" customHeight="1" x14ac:dyDescent="0.25">
      <c r="B13" s="120">
        <v>6</v>
      </c>
      <c r="C13" s="115" t="s">
        <v>58</v>
      </c>
      <c r="D13" s="115" t="s">
        <v>59</v>
      </c>
      <c r="E13" s="115" t="s">
        <v>60</v>
      </c>
      <c r="F13" s="115" t="s">
        <v>41</v>
      </c>
      <c r="G13" s="115" t="s">
        <v>42</v>
      </c>
      <c r="H13" s="115" t="s">
        <v>43</v>
      </c>
      <c r="I13" s="115"/>
      <c r="J13" s="115" t="str">
        <f>tabell_anskaffelsens_innhold[[#This Row],[Kravsett 1]]&amp;" "&amp;tabell_anskaffelsens_innhold[[#This Row],[Kravsett 2]]&amp;" "&amp;tabell_anskaffelsens_innhold[[#This Row],[Kravsett 3]]&amp;" "&amp;tabell_anskaffelsens_innhold[[#This Row],[Kravsett 4]]</f>
        <v xml:space="preserve">Generelle Inj/inf  </v>
      </c>
      <c r="K13" s="115" t="s">
        <v>44</v>
      </c>
      <c r="L13" s="115" t="s">
        <v>45</v>
      </c>
      <c r="M13" s="115"/>
      <c r="N13" s="121"/>
    </row>
    <row r="14" spans="2:14" ht="39.950000000000003" customHeight="1" x14ac:dyDescent="0.25">
      <c r="B14" s="120">
        <v>7</v>
      </c>
      <c r="C14" s="115" t="s">
        <v>58</v>
      </c>
      <c r="D14" s="115" t="s">
        <v>61</v>
      </c>
      <c r="E14" s="115" t="s">
        <v>40</v>
      </c>
      <c r="F14" s="115" t="s">
        <v>62</v>
      </c>
      <c r="G14" s="115" t="s">
        <v>42</v>
      </c>
      <c r="H14" s="115" t="s">
        <v>43</v>
      </c>
      <c r="I14" s="115"/>
      <c r="J14" s="115" t="str">
        <f>tabell_anskaffelsens_innhold[[#This Row],[Kravsett 1]]&amp;" "&amp;tabell_anskaffelsens_innhold[[#This Row],[Kravsett 2]]&amp;" "&amp;tabell_anskaffelsens_innhold[[#This Row],[Kravsett 3]]&amp;" "&amp;tabell_anskaffelsens_innhold[[#This Row],[Kravsett 4]]</f>
        <v xml:space="preserve">Generelle Inj/inf  </v>
      </c>
      <c r="K14" s="115" t="s">
        <v>44</v>
      </c>
      <c r="L14" s="115" t="s">
        <v>45</v>
      </c>
      <c r="M14" s="115"/>
      <c r="N14" s="121"/>
    </row>
    <row r="15" spans="2:14" ht="39.950000000000003" customHeight="1" x14ac:dyDescent="0.25">
      <c r="B15" s="120">
        <v>8</v>
      </c>
      <c r="C15" s="115" t="s">
        <v>63</v>
      </c>
      <c r="D15" s="115" t="s">
        <v>64</v>
      </c>
      <c r="E15" s="115" t="s">
        <v>49</v>
      </c>
      <c r="F15" s="115" t="s">
        <v>41</v>
      </c>
      <c r="G15" s="115" t="s">
        <v>42</v>
      </c>
      <c r="H15" s="115" t="s">
        <v>43</v>
      </c>
      <c r="I15" s="115"/>
      <c r="J15" s="115" t="str">
        <f>tabell_anskaffelsens_innhold[[#This Row],[Kravsett 1]]&amp;" "&amp;tabell_anskaffelsens_innhold[[#This Row],[Kravsett 2]]&amp;" "&amp;tabell_anskaffelsens_innhold[[#This Row],[Kravsett 3]]&amp;" "&amp;tabell_anskaffelsens_innhold[[#This Row],[Kravsett 4]]</f>
        <v xml:space="preserve">Generelle Mikstur/dråper  </v>
      </c>
      <c r="K15" s="115" t="s">
        <v>44</v>
      </c>
      <c r="L15" s="115" t="s">
        <v>49</v>
      </c>
      <c r="M15" s="115"/>
      <c r="N15" s="121"/>
    </row>
    <row r="16" spans="2:14" ht="39.950000000000003" customHeight="1" x14ac:dyDescent="0.25">
      <c r="B16" s="120">
        <v>9</v>
      </c>
      <c r="C16" s="115" t="s">
        <v>65</v>
      </c>
      <c r="D16" s="115" t="s">
        <v>66</v>
      </c>
      <c r="E16" s="115" t="s">
        <v>49</v>
      </c>
      <c r="F16" s="115" t="s">
        <v>41</v>
      </c>
      <c r="G16" s="115" t="s">
        <v>42</v>
      </c>
      <c r="H16" s="115" t="s">
        <v>43</v>
      </c>
      <c r="I16" s="115"/>
      <c r="J16" s="115" t="str">
        <f>tabell_anskaffelsens_innhold[[#This Row],[Kravsett 1]]&amp;" "&amp;tabell_anskaffelsens_innhold[[#This Row],[Kravsett 2]]&amp;" "&amp;tabell_anskaffelsens_innhold[[#This Row],[Kravsett 3]]&amp;" "&amp;tabell_anskaffelsens_innhold[[#This Row],[Kravsett 4]]</f>
        <v xml:space="preserve">Generelle Mikstur/dråper  </v>
      </c>
      <c r="K16" s="115" t="s">
        <v>44</v>
      </c>
      <c r="L16" s="115" t="s">
        <v>49</v>
      </c>
      <c r="M16" s="115"/>
      <c r="N16" s="121"/>
    </row>
    <row r="17" spans="2:14" ht="39.950000000000003" customHeight="1" x14ac:dyDescent="0.25">
      <c r="B17" s="120">
        <v>10</v>
      </c>
      <c r="C17" s="115" t="s">
        <v>67</v>
      </c>
      <c r="D17" s="115" t="s">
        <v>68</v>
      </c>
      <c r="E17" s="115" t="s">
        <v>40</v>
      </c>
      <c r="F17" s="115" t="s">
        <v>41</v>
      </c>
      <c r="G17" s="115" t="s">
        <v>42</v>
      </c>
      <c r="H17" s="115" t="s">
        <v>43</v>
      </c>
      <c r="I17" s="115">
        <v>180</v>
      </c>
      <c r="J17" s="115" t="str">
        <f>tabell_anskaffelsens_innhold[[#This Row],[Kravsett 1]]&amp;" "&amp;tabell_anskaffelsens_innhold[[#This Row],[Kravsett 2]]&amp;" "&amp;tabell_anskaffelsens_innhold[[#This Row],[Kravsett 3]]&amp;" "&amp;tabell_anskaffelsens_innhold[[#This Row],[Kravsett 4]]</f>
        <v xml:space="preserve">Generelle Inj/inf  </v>
      </c>
      <c r="K17" s="115" t="s">
        <v>44</v>
      </c>
      <c r="L17" s="115" t="s">
        <v>45</v>
      </c>
      <c r="M17" s="115"/>
      <c r="N17" s="121"/>
    </row>
    <row r="18" spans="2:14" ht="39.950000000000003" customHeight="1" x14ac:dyDescent="0.25">
      <c r="B18" s="120">
        <v>11</v>
      </c>
      <c r="C18" s="115" t="s">
        <v>69</v>
      </c>
      <c r="D18" s="115" t="s">
        <v>70</v>
      </c>
      <c r="E18" s="115" t="s">
        <v>49</v>
      </c>
      <c r="F18" s="115" t="s">
        <v>41</v>
      </c>
      <c r="G18" s="115" t="s">
        <v>42</v>
      </c>
      <c r="H18" s="115" t="s">
        <v>43</v>
      </c>
      <c r="I18" s="115"/>
      <c r="J18" s="115" t="str">
        <f>tabell_anskaffelsens_innhold[[#This Row],[Kravsett 1]]&amp;" "&amp;tabell_anskaffelsens_innhold[[#This Row],[Kravsett 2]]&amp;" "&amp;tabell_anskaffelsens_innhold[[#This Row],[Kravsett 3]]&amp;" "&amp;tabell_anskaffelsens_innhold[[#This Row],[Kravsett 4]]</f>
        <v xml:space="preserve">Generelle Mikstur/dråper  </v>
      </c>
      <c r="K18" s="115" t="s">
        <v>44</v>
      </c>
      <c r="L18" s="115" t="s">
        <v>49</v>
      </c>
      <c r="M18" s="115"/>
      <c r="N18" s="121"/>
    </row>
    <row r="19" spans="2:14" ht="39.950000000000003" customHeight="1" x14ac:dyDescent="0.25">
      <c r="B19" s="120">
        <v>12</v>
      </c>
      <c r="C19" s="115" t="s">
        <v>71</v>
      </c>
      <c r="D19" s="115" t="s">
        <v>72</v>
      </c>
      <c r="E19" s="115" t="s">
        <v>55</v>
      </c>
      <c r="F19" s="115" t="s">
        <v>41</v>
      </c>
      <c r="G19" s="115" t="s">
        <v>42</v>
      </c>
      <c r="H19" s="115" t="s">
        <v>43</v>
      </c>
      <c r="I19" s="115">
        <v>30</v>
      </c>
      <c r="J19" s="115" t="str">
        <f>tabell_anskaffelsens_innhold[[#This Row],[Kravsett 1]]&amp;" "&amp;tabell_anskaffelsens_innhold[[#This Row],[Kravsett 2]]&amp;" "&amp;tabell_anskaffelsens_innhold[[#This Row],[Kravsett 3]]&amp;" "&amp;tabell_anskaffelsens_innhold[[#This Row],[Kravsett 4]]</f>
        <v xml:space="preserve">Generelle Tabletter/kapsler  </v>
      </c>
      <c r="K19" s="115" t="s">
        <v>44</v>
      </c>
      <c r="L19" s="115" t="s">
        <v>57</v>
      </c>
      <c r="M19" s="115"/>
      <c r="N19" s="121"/>
    </row>
    <row r="20" spans="2:14" ht="39.950000000000003" customHeight="1" x14ac:dyDescent="0.25">
      <c r="B20" s="120">
        <v>13</v>
      </c>
      <c r="C20" s="115" t="s">
        <v>73</v>
      </c>
      <c r="D20" s="115" t="s">
        <v>74</v>
      </c>
      <c r="E20" s="115" t="s">
        <v>40</v>
      </c>
      <c r="F20" s="115" t="s">
        <v>41</v>
      </c>
      <c r="G20" s="115" t="s">
        <v>42</v>
      </c>
      <c r="H20" s="115" t="s">
        <v>43</v>
      </c>
      <c r="I20" s="115">
        <v>30</v>
      </c>
      <c r="J20" s="115" t="str">
        <f>tabell_anskaffelsens_innhold[[#This Row],[Kravsett 1]]&amp;" "&amp;tabell_anskaffelsens_innhold[[#This Row],[Kravsett 2]]&amp;" "&amp;tabell_anskaffelsens_innhold[[#This Row],[Kravsett 3]]&amp;" "&amp;tabell_anskaffelsens_innhold[[#This Row],[Kravsett 4]]</f>
        <v xml:space="preserve">Generelle Inj/inf  </v>
      </c>
      <c r="K20" s="115" t="s">
        <v>44</v>
      </c>
      <c r="L20" s="115" t="s">
        <v>45</v>
      </c>
      <c r="M20" s="115"/>
      <c r="N20" s="121"/>
    </row>
    <row r="21" spans="2:14" ht="39.950000000000003" customHeight="1" x14ac:dyDescent="0.25">
      <c r="B21" s="120">
        <v>14</v>
      </c>
      <c r="C21" s="115" t="s">
        <v>75</v>
      </c>
      <c r="D21" s="115" t="s">
        <v>76</v>
      </c>
      <c r="E21" s="115" t="s">
        <v>60</v>
      </c>
      <c r="F21" s="115" t="s">
        <v>77</v>
      </c>
      <c r="G21" s="115" t="s">
        <v>42</v>
      </c>
      <c r="H21" s="115" t="s">
        <v>43</v>
      </c>
      <c r="I21" s="115"/>
      <c r="J21" s="115" t="str">
        <f>tabell_anskaffelsens_innhold[[#This Row],[Kravsett 1]]&amp;" "&amp;tabell_anskaffelsens_innhold[[#This Row],[Kravsett 2]]&amp;" "&amp;tabell_anskaffelsens_innhold[[#This Row],[Kravsett 3]]&amp;" "&amp;tabell_anskaffelsens_innhold[[#This Row],[Kravsett 4]]</f>
        <v xml:space="preserve">Generelle Inj/inf  </v>
      </c>
      <c r="K21" s="115" t="s">
        <v>44</v>
      </c>
      <c r="L21" s="115" t="s">
        <v>45</v>
      </c>
      <c r="M21" s="115"/>
      <c r="N21" s="121"/>
    </row>
    <row r="22" spans="2:14" ht="39.950000000000003" customHeight="1" x14ac:dyDescent="0.25">
      <c r="B22" s="120">
        <v>15</v>
      </c>
      <c r="C22" s="115" t="s">
        <v>75</v>
      </c>
      <c r="D22" s="115" t="s">
        <v>76</v>
      </c>
      <c r="E22" s="115" t="s">
        <v>40</v>
      </c>
      <c r="F22" s="115" t="s">
        <v>78</v>
      </c>
      <c r="G22" s="115" t="s">
        <v>42</v>
      </c>
      <c r="H22" s="115" t="s">
        <v>43</v>
      </c>
      <c r="I22" s="115"/>
      <c r="J22" s="115" t="str">
        <f>tabell_anskaffelsens_innhold[[#This Row],[Kravsett 1]]&amp;" "&amp;tabell_anskaffelsens_innhold[[#This Row],[Kravsett 2]]&amp;" "&amp;tabell_anskaffelsens_innhold[[#This Row],[Kravsett 3]]&amp;" "&amp;tabell_anskaffelsens_innhold[[#This Row],[Kravsett 4]]</f>
        <v xml:space="preserve">Generelle Inj/inf  </v>
      </c>
      <c r="K22" s="115" t="s">
        <v>44</v>
      </c>
      <c r="L22" s="115" t="s">
        <v>45</v>
      </c>
      <c r="M22" s="115"/>
      <c r="N22" s="121"/>
    </row>
    <row r="23" spans="2:14" ht="39.950000000000003" customHeight="1" x14ac:dyDescent="0.25">
      <c r="B23" s="120">
        <v>16</v>
      </c>
      <c r="C23" s="115" t="s">
        <v>75</v>
      </c>
      <c r="D23" s="115" t="s">
        <v>76</v>
      </c>
      <c r="E23" s="115" t="s">
        <v>40</v>
      </c>
      <c r="F23" s="115" t="s">
        <v>79</v>
      </c>
      <c r="G23" s="115" t="s">
        <v>42</v>
      </c>
      <c r="H23" s="115" t="s">
        <v>43</v>
      </c>
      <c r="I23" s="115"/>
      <c r="J23" s="115" t="str">
        <f>tabell_anskaffelsens_innhold[[#This Row],[Kravsett 1]]&amp;" "&amp;tabell_anskaffelsens_innhold[[#This Row],[Kravsett 2]]&amp;" "&amp;tabell_anskaffelsens_innhold[[#This Row],[Kravsett 3]]&amp;" "&amp;tabell_anskaffelsens_innhold[[#This Row],[Kravsett 4]]</f>
        <v xml:space="preserve">Generelle Inj/inf  </v>
      </c>
      <c r="K23" s="115" t="s">
        <v>44</v>
      </c>
      <c r="L23" s="115" t="s">
        <v>45</v>
      </c>
      <c r="M23" s="115"/>
      <c r="N23" s="121"/>
    </row>
    <row r="24" spans="2:14" ht="39.950000000000003" customHeight="1" x14ac:dyDescent="0.25">
      <c r="B24" s="120">
        <v>17</v>
      </c>
      <c r="C24" s="115" t="s">
        <v>80</v>
      </c>
      <c r="D24" s="115" t="s">
        <v>81</v>
      </c>
      <c r="E24" s="115" t="s">
        <v>40</v>
      </c>
      <c r="F24" s="115" t="s">
        <v>82</v>
      </c>
      <c r="G24" s="115" t="s">
        <v>42</v>
      </c>
      <c r="H24" s="115" t="s">
        <v>43</v>
      </c>
      <c r="I24" s="115">
        <v>30</v>
      </c>
      <c r="J24" s="115" t="str">
        <f>tabell_anskaffelsens_innhold[[#This Row],[Kravsett 1]]&amp;" "&amp;tabell_anskaffelsens_innhold[[#This Row],[Kravsett 2]]&amp;" "&amp;tabell_anskaffelsens_innhold[[#This Row],[Kravsett 3]]&amp;" "&amp;tabell_anskaffelsens_innhold[[#This Row],[Kravsett 4]]</f>
        <v xml:space="preserve">Generelle Inj/inf  </v>
      </c>
      <c r="K24" s="115" t="s">
        <v>44</v>
      </c>
      <c r="L24" s="115" t="s">
        <v>45</v>
      </c>
      <c r="M24" s="115"/>
      <c r="N24" s="121"/>
    </row>
    <row r="25" spans="2:14" ht="39.950000000000003" customHeight="1" x14ac:dyDescent="0.25">
      <c r="B25" s="120">
        <v>18</v>
      </c>
      <c r="C25" s="115" t="s">
        <v>80</v>
      </c>
      <c r="D25" s="115" t="s">
        <v>81</v>
      </c>
      <c r="E25" s="115" t="s">
        <v>49</v>
      </c>
      <c r="F25" s="115"/>
      <c r="G25" s="115" t="s">
        <v>42</v>
      </c>
      <c r="H25" s="115" t="s">
        <v>43</v>
      </c>
      <c r="I25" s="115"/>
      <c r="J25" s="115" t="str">
        <f>tabell_anskaffelsens_innhold[[#This Row],[Kravsett 1]]&amp;" "&amp;tabell_anskaffelsens_innhold[[#This Row],[Kravsett 2]]&amp;" "&amp;tabell_anskaffelsens_innhold[[#This Row],[Kravsett 3]]&amp;" "&amp;tabell_anskaffelsens_innhold[[#This Row],[Kravsett 4]]</f>
        <v xml:space="preserve">Generelle Mikstur/dråper  </v>
      </c>
      <c r="K25" s="115" t="s">
        <v>44</v>
      </c>
      <c r="L25" s="115" t="s">
        <v>49</v>
      </c>
      <c r="M25" s="115"/>
      <c r="N25" s="121"/>
    </row>
    <row r="26" spans="2:14" ht="39.950000000000003" customHeight="1" x14ac:dyDescent="0.25">
      <c r="B26" s="120">
        <v>19</v>
      </c>
      <c r="C26" s="115" t="s">
        <v>83</v>
      </c>
      <c r="D26" s="115" t="s">
        <v>84</v>
      </c>
      <c r="E26" s="115" t="s">
        <v>85</v>
      </c>
      <c r="F26" s="115" t="s">
        <v>41</v>
      </c>
      <c r="G26" s="115" t="s">
        <v>42</v>
      </c>
      <c r="H26" s="115" t="s">
        <v>43</v>
      </c>
      <c r="I26" s="115"/>
      <c r="J26" s="115" t="str">
        <f>tabell_anskaffelsens_innhold[[#This Row],[Kravsett 1]]&amp;" "&amp;tabell_anskaffelsens_innhold[[#This Row],[Kravsett 2]]&amp;" "&amp;tabell_anskaffelsens_innhold[[#This Row],[Kravsett 3]]&amp;" "&amp;tabell_anskaffelsens_innhold[[#This Row],[Kravsett 4]]</f>
        <v xml:space="preserve">Generelle Tørrstoff  </v>
      </c>
      <c r="K26" s="115" t="s">
        <v>44</v>
      </c>
      <c r="L26" s="115" t="s">
        <v>85</v>
      </c>
      <c r="M26" s="115"/>
      <c r="N26" s="121"/>
    </row>
    <row r="27" spans="2:14" ht="39.950000000000003" customHeight="1" x14ac:dyDescent="0.25">
      <c r="B27" s="120">
        <v>20</v>
      </c>
      <c r="C27" s="115" t="s">
        <v>86</v>
      </c>
      <c r="D27" s="115" t="s">
        <v>87</v>
      </c>
      <c r="E27" s="115" t="s">
        <v>60</v>
      </c>
      <c r="F27" s="115" t="s">
        <v>41</v>
      </c>
      <c r="G27" s="115" t="s">
        <v>42</v>
      </c>
      <c r="H27" s="115" t="s">
        <v>43</v>
      </c>
      <c r="I27" s="115">
        <v>30</v>
      </c>
      <c r="J27" s="115" t="str">
        <f>tabell_anskaffelsens_innhold[[#This Row],[Kravsett 1]]&amp;" "&amp;tabell_anskaffelsens_innhold[[#This Row],[Kravsett 2]]&amp;" "&amp;tabell_anskaffelsens_innhold[[#This Row],[Kravsett 3]]&amp;" "&amp;tabell_anskaffelsens_innhold[[#This Row],[Kravsett 4]]</f>
        <v xml:space="preserve">Generelle Inj/inf  </v>
      </c>
      <c r="K27" s="115" t="s">
        <v>44</v>
      </c>
      <c r="L27" s="115" t="s">
        <v>45</v>
      </c>
      <c r="M27" s="115"/>
      <c r="N27" s="121"/>
    </row>
    <row r="28" spans="2:14" ht="39.950000000000003" customHeight="1" x14ac:dyDescent="0.25">
      <c r="B28" s="120">
        <v>21</v>
      </c>
      <c r="C28" s="115" t="s">
        <v>88</v>
      </c>
      <c r="D28" s="115" t="s">
        <v>89</v>
      </c>
      <c r="E28" s="115" t="s">
        <v>55</v>
      </c>
      <c r="F28" s="115" t="s">
        <v>90</v>
      </c>
      <c r="G28" s="115" t="s">
        <v>42</v>
      </c>
      <c r="H28" s="115" t="s">
        <v>43</v>
      </c>
      <c r="I28" s="115"/>
      <c r="J28" s="115" t="str">
        <f>tabell_anskaffelsens_innhold[[#This Row],[Kravsett 1]]&amp;" "&amp;tabell_anskaffelsens_innhold[[#This Row],[Kravsett 2]]&amp;" "&amp;tabell_anskaffelsens_innhold[[#This Row],[Kravsett 3]]&amp;" "&amp;tabell_anskaffelsens_innhold[[#This Row],[Kravsett 4]]</f>
        <v xml:space="preserve">Generelle Tabletter/kapsler  </v>
      </c>
      <c r="K28" s="115" t="s">
        <v>44</v>
      </c>
      <c r="L28" s="115" t="s">
        <v>57</v>
      </c>
      <c r="M28" s="115"/>
      <c r="N28" s="121"/>
    </row>
    <row r="29" spans="2:14" ht="39.950000000000003" customHeight="1" x14ac:dyDescent="0.25">
      <c r="B29" s="120">
        <v>22</v>
      </c>
      <c r="C29" s="115" t="s">
        <v>91</v>
      </c>
      <c r="D29" s="115" t="s">
        <v>92</v>
      </c>
      <c r="E29" s="115" t="s">
        <v>93</v>
      </c>
      <c r="F29" s="115" t="s">
        <v>41</v>
      </c>
      <c r="G29" s="115" t="s">
        <v>42</v>
      </c>
      <c r="H29" s="115" t="s">
        <v>43</v>
      </c>
      <c r="I29" s="115"/>
      <c r="J29" s="115" t="str">
        <f>tabell_anskaffelsens_innhold[[#This Row],[Kravsett 1]]&amp;" "&amp;tabell_anskaffelsens_innhold[[#This Row],[Kravsett 2]]&amp;" "&amp;tabell_anskaffelsens_innhold[[#This Row],[Kravsett 3]]&amp;" "&amp;tabell_anskaffelsens_innhold[[#This Row],[Kravsett 4]]</f>
        <v xml:space="preserve">Generelle Inj/inf Infusjon </v>
      </c>
      <c r="K29" s="115" t="s">
        <v>44</v>
      </c>
      <c r="L29" s="115" t="s">
        <v>45</v>
      </c>
      <c r="M29" s="115" t="s">
        <v>93</v>
      </c>
      <c r="N29" s="121"/>
    </row>
    <row r="30" spans="2:14" ht="39.950000000000003" customHeight="1" x14ac:dyDescent="0.25">
      <c r="B30" s="120">
        <v>24</v>
      </c>
      <c r="C30" s="115" t="s">
        <v>94</v>
      </c>
      <c r="D30" s="115" t="s">
        <v>95</v>
      </c>
      <c r="E30" s="115" t="s">
        <v>55</v>
      </c>
      <c r="F30" s="115" t="s">
        <v>41</v>
      </c>
      <c r="G30" s="115" t="s">
        <v>42</v>
      </c>
      <c r="H30" s="115" t="s">
        <v>43</v>
      </c>
      <c r="I30" s="115"/>
      <c r="J30" s="115" t="str">
        <f>tabell_anskaffelsens_innhold[[#This Row],[Kravsett 1]]&amp;" "&amp;tabell_anskaffelsens_innhold[[#This Row],[Kravsett 2]]&amp;" "&amp;tabell_anskaffelsens_innhold[[#This Row],[Kravsett 3]]&amp;" "&amp;tabell_anskaffelsens_innhold[[#This Row],[Kravsett 4]]</f>
        <v xml:space="preserve">Generelle Tabletter/kapsler C02AC01 Klonidin </v>
      </c>
      <c r="K30" s="115" t="s">
        <v>44</v>
      </c>
      <c r="L30" s="115" t="s">
        <v>57</v>
      </c>
      <c r="M30" s="115" t="s">
        <v>96</v>
      </c>
      <c r="N30" s="121"/>
    </row>
    <row r="31" spans="2:14" ht="39.950000000000003" customHeight="1" x14ac:dyDescent="0.25">
      <c r="B31" s="120">
        <v>25</v>
      </c>
      <c r="C31" s="115" t="s">
        <v>97</v>
      </c>
      <c r="D31" s="115" t="s">
        <v>98</v>
      </c>
      <c r="E31" s="115" t="s">
        <v>85</v>
      </c>
      <c r="F31" s="115" t="s">
        <v>41</v>
      </c>
      <c r="G31" s="115" t="s">
        <v>42</v>
      </c>
      <c r="H31" s="115" t="s">
        <v>43</v>
      </c>
      <c r="I31" s="115"/>
      <c r="J31" s="115" t="str">
        <f>tabell_anskaffelsens_innhold[[#This Row],[Kravsett 1]]&amp;" "&amp;tabell_anskaffelsens_innhold[[#This Row],[Kravsett 2]]&amp;" "&amp;tabell_anskaffelsens_innhold[[#This Row],[Kravsett 3]]&amp;" "&amp;tabell_anskaffelsens_innhold[[#This Row],[Kravsett 4]]</f>
        <v xml:space="preserve">Generelle Tørrstoff  </v>
      </c>
      <c r="K31" s="115" t="s">
        <v>44</v>
      </c>
      <c r="L31" s="115" t="s">
        <v>85</v>
      </c>
      <c r="M31" s="115"/>
      <c r="N31" s="121"/>
    </row>
    <row r="32" spans="2:14" ht="39.950000000000003" customHeight="1" x14ac:dyDescent="0.25">
      <c r="B32" s="120">
        <v>26</v>
      </c>
      <c r="C32" s="115" t="s">
        <v>99</v>
      </c>
      <c r="D32" s="115" t="s">
        <v>100</v>
      </c>
      <c r="E32" s="115" t="s">
        <v>40</v>
      </c>
      <c r="F32" s="115" t="s">
        <v>41</v>
      </c>
      <c r="G32" s="115" t="s">
        <v>42</v>
      </c>
      <c r="H32" s="115" t="s">
        <v>43</v>
      </c>
      <c r="I32" s="115">
        <v>30</v>
      </c>
      <c r="J32" s="115" t="str">
        <f>tabell_anskaffelsens_innhold[[#This Row],[Kravsett 1]]&amp;" "&amp;tabell_anskaffelsens_innhold[[#This Row],[Kravsett 2]]&amp;" "&amp;tabell_anskaffelsens_innhold[[#This Row],[Kravsett 3]]&amp;" "&amp;tabell_anskaffelsens_innhold[[#This Row],[Kravsett 4]]</f>
        <v xml:space="preserve">Generelle Inj/inf  </v>
      </c>
      <c r="K32" s="115" t="s">
        <v>44</v>
      </c>
      <c r="L32" s="115" t="s">
        <v>45</v>
      </c>
      <c r="M32" s="115"/>
      <c r="N32" s="121"/>
    </row>
    <row r="33" spans="2:14" ht="39.950000000000003" customHeight="1" x14ac:dyDescent="0.25">
      <c r="B33" s="120">
        <v>27</v>
      </c>
      <c r="C33" s="115" t="s">
        <v>101</v>
      </c>
      <c r="D33" s="115" t="s">
        <v>102</v>
      </c>
      <c r="E33" s="115" t="s">
        <v>103</v>
      </c>
      <c r="F33" s="115" t="s">
        <v>41</v>
      </c>
      <c r="G33" s="115" t="s">
        <v>42</v>
      </c>
      <c r="H33" s="115" t="s">
        <v>43</v>
      </c>
      <c r="I33" s="115"/>
      <c r="J33" s="115" t="str">
        <f>tabell_anskaffelsens_innhold[[#This Row],[Kravsett 1]]&amp;" "&amp;tabell_anskaffelsens_innhold[[#This Row],[Kravsett 2]]&amp;" "&amp;tabell_anskaffelsens_innhold[[#This Row],[Kravsett 3]]&amp;" "&amp;tabell_anskaffelsens_innhold[[#This Row],[Kravsett 4]]</f>
        <v xml:space="preserve">Generelle   </v>
      </c>
      <c r="K33" s="115" t="s">
        <v>44</v>
      </c>
      <c r="L33" s="115"/>
      <c r="M33" s="115"/>
      <c r="N33" s="121"/>
    </row>
    <row r="34" spans="2:14" ht="39.950000000000003" customHeight="1" x14ac:dyDescent="0.25">
      <c r="B34" s="120">
        <v>28</v>
      </c>
      <c r="C34" s="115" t="s">
        <v>104</v>
      </c>
      <c r="D34" s="115" t="s">
        <v>105</v>
      </c>
      <c r="E34" s="115" t="s">
        <v>40</v>
      </c>
      <c r="F34" s="115" t="s">
        <v>41</v>
      </c>
      <c r="G34" s="115" t="s">
        <v>106</v>
      </c>
      <c r="H34" s="115" t="s">
        <v>107</v>
      </c>
      <c r="I34" s="115"/>
      <c r="J34" s="115" t="str">
        <f>tabell_anskaffelsens_innhold[[#This Row],[Kravsett 1]]&amp;" "&amp;tabell_anskaffelsens_innhold[[#This Row],[Kravsett 2]]&amp;" "&amp;tabell_anskaffelsens_innhold[[#This Row],[Kravsett 3]]&amp;" "&amp;tabell_anskaffelsens_innhold[[#This Row],[Kravsett 4]]</f>
        <v xml:space="preserve">Generelle Inj/inf  </v>
      </c>
      <c r="K34" s="115" t="s">
        <v>44</v>
      </c>
      <c r="L34" s="115" t="s">
        <v>45</v>
      </c>
      <c r="M34" s="115"/>
      <c r="N34" s="121"/>
    </row>
    <row r="35" spans="2:14" ht="39.950000000000003" customHeight="1" x14ac:dyDescent="0.25">
      <c r="B35" s="120">
        <v>29</v>
      </c>
      <c r="C35" s="115" t="s">
        <v>108</v>
      </c>
      <c r="D35" s="115" t="s">
        <v>109</v>
      </c>
      <c r="E35" s="115" t="s">
        <v>49</v>
      </c>
      <c r="F35" s="115" t="s">
        <v>41</v>
      </c>
      <c r="G35" s="115" t="s">
        <v>42</v>
      </c>
      <c r="H35" s="115" t="s">
        <v>43</v>
      </c>
      <c r="I35" s="115">
        <v>30</v>
      </c>
      <c r="J35" s="115" t="str">
        <f>tabell_anskaffelsens_innhold[[#This Row],[Kravsett 1]]&amp;" "&amp;tabell_anskaffelsens_innhold[[#This Row],[Kravsett 2]]&amp;" "&amp;tabell_anskaffelsens_innhold[[#This Row],[Kravsett 3]]&amp;" "&amp;tabell_anskaffelsens_innhold[[#This Row],[Kravsett 4]]</f>
        <v xml:space="preserve">Generelle Mikstur/dråper  </v>
      </c>
      <c r="K35" s="115" t="s">
        <v>44</v>
      </c>
      <c r="L35" s="115" t="s">
        <v>49</v>
      </c>
      <c r="M35" s="115"/>
      <c r="N35" s="121"/>
    </row>
    <row r="36" spans="2:14" ht="39.950000000000003" customHeight="1" x14ac:dyDescent="0.25">
      <c r="B36" s="120">
        <v>30</v>
      </c>
      <c r="C36" s="115" t="s">
        <v>110</v>
      </c>
      <c r="D36" s="115" t="s">
        <v>111</v>
      </c>
      <c r="E36" s="115" t="s">
        <v>40</v>
      </c>
      <c r="F36" s="115" t="s">
        <v>41</v>
      </c>
      <c r="G36" s="115" t="s">
        <v>42</v>
      </c>
      <c r="H36" s="115" t="s">
        <v>43</v>
      </c>
      <c r="I36" s="115">
        <v>150</v>
      </c>
      <c r="J36" s="115" t="str">
        <f>tabell_anskaffelsens_innhold[[#This Row],[Kravsett 1]]&amp;" "&amp;tabell_anskaffelsens_innhold[[#This Row],[Kravsett 2]]&amp;" "&amp;tabell_anskaffelsens_innhold[[#This Row],[Kravsett 3]]&amp;" "&amp;tabell_anskaffelsens_innhold[[#This Row],[Kravsett 4]]</f>
        <v xml:space="preserve">Generelle Inj/inf  </v>
      </c>
      <c r="K36" s="115" t="s">
        <v>44</v>
      </c>
      <c r="L36" s="115" t="s">
        <v>45</v>
      </c>
      <c r="M36" s="115"/>
      <c r="N36" s="121"/>
    </row>
    <row r="37" spans="2:14" ht="39.950000000000003" customHeight="1" x14ac:dyDescent="0.25">
      <c r="B37" s="120">
        <v>31</v>
      </c>
      <c r="C37" s="115" t="s">
        <v>112</v>
      </c>
      <c r="D37" s="115" t="s">
        <v>113</v>
      </c>
      <c r="E37" s="115" t="s">
        <v>114</v>
      </c>
      <c r="F37" s="115" t="s">
        <v>41</v>
      </c>
      <c r="G37" s="115" t="s">
        <v>42</v>
      </c>
      <c r="H37" s="115" t="s">
        <v>43</v>
      </c>
      <c r="I37" s="115"/>
      <c r="J37" s="115" t="str">
        <f>tabell_anskaffelsens_innhold[[#This Row],[Kravsett 1]]&amp;" "&amp;tabell_anskaffelsens_innhold[[#This Row],[Kravsett 2]]&amp;" "&amp;tabell_anskaffelsens_innhold[[#This Row],[Kravsett 3]]&amp;" "&amp;tabell_anskaffelsens_innhold[[#This Row],[Kravsett 4]]</f>
        <v xml:space="preserve">Generelle   </v>
      </c>
      <c r="K37" s="115" t="s">
        <v>44</v>
      </c>
      <c r="L37" s="115"/>
      <c r="M37" s="115"/>
      <c r="N37" s="121"/>
    </row>
    <row r="38" spans="2:14" ht="39.950000000000003" customHeight="1" x14ac:dyDescent="0.25">
      <c r="B38" s="120">
        <v>32</v>
      </c>
      <c r="C38" s="115" t="s">
        <v>115</v>
      </c>
      <c r="D38" s="115" t="s">
        <v>116</v>
      </c>
      <c r="E38" s="115" t="s">
        <v>117</v>
      </c>
      <c r="F38" s="115" t="s">
        <v>118</v>
      </c>
      <c r="G38" s="115" t="s">
        <v>42</v>
      </c>
      <c r="H38" s="115" t="s">
        <v>43</v>
      </c>
      <c r="I38" s="115"/>
      <c r="J38" s="115" t="str">
        <f>tabell_anskaffelsens_innhold[[#This Row],[Kravsett 1]]&amp;" "&amp;tabell_anskaffelsens_innhold[[#This Row],[Kravsett 2]]&amp;" "&amp;tabell_anskaffelsens_innhold[[#This Row],[Kravsett 3]]&amp;" "&amp;tabell_anskaffelsens_innhold[[#This Row],[Kravsett 4]]</f>
        <v xml:space="preserve">Generelle   </v>
      </c>
      <c r="K38" s="115" t="s">
        <v>44</v>
      </c>
      <c r="L38" s="115"/>
      <c r="M38" s="115"/>
      <c r="N38" s="121"/>
    </row>
    <row r="39" spans="2:14" ht="39.950000000000003" customHeight="1" x14ac:dyDescent="0.25">
      <c r="B39" s="120">
        <v>33</v>
      </c>
      <c r="C39" s="115" t="s">
        <v>119</v>
      </c>
      <c r="D39" s="115" t="s">
        <v>120</v>
      </c>
      <c r="E39" s="115" t="s">
        <v>114</v>
      </c>
      <c r="F39" s="115" t="s">
        <v>41</v>
      </c>
      <c r="G39" s="115" t="s">
        <v>42</v>
      </c>
      <c r="H39" s="115" t="s">
        <v>43</v>
      </c>
      <c r="I39" s="115"/>
      <c r="J39" s="115" t="str">
        <f>tabell_anskaffelsens_innhold[[#This Row],[Kravsett 1]]&amp;" "&amp;tabell_anskaffelsens_innhold[[#This Row],[Kravsett 2]]&amp;" "&amp;tabell_anskaffelsens_innhold[[#This Row],[Kravsett 3]]&amp;" "&amp;tabell_anskaffelsens_innhold[[#This Row],[Kravsett 4]]</f>
        <v xml:space="preserve">Generelle D08AG02 Povidon, jodert, til bruk på hud  </v>
      </c>
      <c r="K39" s="115" t="s">
        <v>44</v>
      </c>
      <c r="L39" s="115" t="s">
        <v>121</v>
      </c>
      <c r="M39" s="115"/>
      <c r="N39" s="121"/>
    </row>
    <row r="40" spans="2:14" ht="39.950000000000003" customHeight="1" x14ac:dyDescent="0.25">
      <c r="B40" s="120">
        <v>34</v>
      </c>
      <c r="C40" s="115" t="s">
        <v>119</v>
      </c>
      <c r="D40" s="115" t="s">
        <v>120</v>
      </c>
      <c r="E40" s="115" t="s">
        <v>114</v>
      </c>
      <c r="F40" s="115" t="s">
        <v>122</v>
      </c>
      <c r="G40" s="115" t="s">
        <v>42</v>
      </c>
      <c r="H40" s="115" t="s">
        <v>43</v>
      </c>
      <c r="I40" s="115"/>
      <c r="J40" s="115" t="str">
        <f>tabell_anskaffelsens_innhold[[#This Row],[Kravsett 1]]&amp;" "&amp;tabell_anskaffelsens_innhold[[#This Row],[Kravsett 2]]&amp;" "&amp;tabell_anskaffelsens_innhold[[#This Row],[Kravsett 3]]&amp;" "&amp;tabell_anskaffelsens_innhold[[#This Row],[Kravsett 4]]</f>
        <v xml:space="preserve">Generelle D08AG02 Povidon, jodert, til bruk på hud, skrubb, med glyserol  </v>
      </c>
      <c r="K40" s="115" t="s">
        <v>44</v>
      </c>
      <c r="L40" s="115" t="s">
        <v>123</v>
      </c>
      <c r="M40" s="115"/>
      <c r="N40" s="121"/>
    </row>
    <row r="41" spans="2:14" ht="39.950000000000003" customHeight="1" x14ac:dyDescent="0.25">
      <c r="B41" s="120">
        <v>35</v>
      </c>
      <c r="C41" s="115" t="s">
        <v>124</v>
      </c>
      <c r="D41" s="115" t="s">
        <v>125</v>
      </c>
      <c r="E41" s="115" t="s">
        <v>117</v>
      </c>
      <c r="F41" s="115" t="s">
        <v>126</v>
      </c>
      <c r="G41" s="115" t="s">
        <v>42</v>
      </c>
      <c r="H41" s="115" t="s">
        <v>43</v>
      </c>
      <c r="I41" s="115"/>
      <c r="J41" s="115" t="str">
        <f>tabell_anskaffelsens_innhold[[#This Row],[Kravsett 1]]&amp;" "&amp;tabell_anskaffelsens_innhold[[#This Row],[Kravsett 2]]&amp;" "&amp;tabell_anskaffelsens_innhold[[#This Row],[Kravsett 3]]&amp;" "&amp;tabell_anskaffelsens_innhold[[#This Row],[Kravsett 4]]</f>
        <v xml:space="preserve">Generelle   </v>
      </c>
      <c r="K41" s="115" t="s">
        <v>44</v>
      </c>
      <c r="L41" s="115"/>
      <c r="M41" s="115"/>
      <c r="N41" s="121"/>
    </row>
    <row r="42" spans="2:14" ht="39.950000000000003" customHeight="1" x14ac:dyDescent="0.25">
      <c r="B42" s="120">
        <v>36</v>
      </c>
      <c r="C42" s="115" t="s">
        <v>127</v>
      </c>
      <c r="D42" s="115" t="s">
        <v>128</v>
      </c>
      <c r="E42" s="115" t="s">
        <v>129</v>
      </c>
      <c r="F42" s="115" t="s">
        <v>41</v>
      </c>
      <c r="G42" s="115" t="s">
        <v>42</v>
      </c>
      <c r="H42" s="115" t="s">
        <v>43</v>
      </c>
      <c r="I42" s="115"/>
      <c r="J42" s="115" t="str">
        <f>tabell_anskaffelsens_innhold[[#This Row],[Kravsett 1]]&amp;" "&amp;tabell_anskaffelsens_innhold[[#This Row],[Kravsett 2]]&amp;" "&amp;tabell_anskaffelsens_innhold[[#This Row],[Kravsett 3]]&amp;" "&amp;tabell_anskaffelsens_innhold[[#This Row],[Kravsett 4]]</f>
        <v xml:space="preserve">Generelle   </v>
      </c>
      <c r="K42" s="115" t="s">
        <v>44</v>
      </c>
      <c r="L42" s="115"/>
      <c r="M42" s="115"/>
      <c r="N42" s="121"/>
    </row>
    <row r="43" spans="2:14" ht="39.950000000000003" customHeight="1" x14ac:dyDescent="0.25">
      <c r="B43" s="120">
        <v>37</v>
      </c>
      <c r="C43" s="115" t="s">
        <v>130</v>
      </c>
      <c r="D43" s="115" t="s">
        <v>131</v>
      </c>
      <c r="E43" s="115" t="s">
        <v>40</v>
      </c>
      <c r="F43" s="115" t="s">
        <v>41</v>
      </c>
      <c r="G43" s="115" t="s">
        <v>42</v>
      </c>
      <c r="H43" s="115" t="s">
        <v>43</v>
      </c>
      <c r="I43" s="115">
        <v>180</v>
      </c>
      <c r="J43" s="115" t="str">
        <f>tabell_anskaffelsens_innhold[[#This Row],[Kravsett 1]]&amp;" "&amp;tabell_anskaffelsens_innhold[[#This Row],[Kravsett 2]]&amp;" "&amp;tabell_anskaffelsens_innhold[[#This Row],[Kravsett 3]]&amp;" "&amp;tabell_anskaffelsens_innhold[[#This Row],[Kravsett 4]]</f>
        <v xml:space="preserve">Generelle Inj/inf  </v>
      </c>
      <c r="K43" s="115" t="s">
        <v>44</v>
      </c>
      <c r="L43" s="115" t="s">
        <v>45</v>
      </c>
      <c r="M43" s="115"/>
      <c r="N43" s="121"/>
    </row>
    <row r="44" spans="2:14" ht="39.950000000000003" customHeight="1" x14ac:dyDescent="0.25">
      <c r="B44" s="120">
        <v>38</v>
      </c>
      <c r="C44" s="115" t="s">
        <v>132</v>
      </c>
      <c r="D44" s="115" t="s">
        <v>133</v>
      </c>
      <c r="E44" s="115" t="s">
        <v>129</v>
      </c>
      <c r="F44" s="115" t="s">
        <v>134</v>
      </c>
      <c r="G44" s="115" t="s">
        <v>42</v>
      </c>
      <c r="H44" s="115" t="s">
        <v>43</v>
      </c>
      <c r="I44" s="115"/>
      <c r="J44" s="115" t="str">
        <f>tabell_anskaffelsens_innhold[[#This Row],[Kravsett 1]]&amp;" "&amp;tabell_anskaffelsens_innhold[[#This Row],[Kravsett 2]]&amp;" "&amp;tabell_anskaffelsens_innhold[[#This Row],[Kravsett 3]]&amp;" "&amp;tabell_anskaffelsens_innhold[[#This Row],[Kravsett 4]]</f>
        <v xml:space="preserve">Generelle   </v>
      </c>
      <c r="K44" s="115" t="s">
        <v>44</v>
      </c>
      <c r="L44" s="115"/>
      <c r="M44" s="115"/>
      <c r="N44" s="121"/>
    </row>
    <row r="45" spans="2:14" ht="39.950000000000003" customHeight="1" x14ac:dyDescent="0.25">
      <c r="B45" s="120">
        <v>39</v>
      </c>
      <c r="C45" s="115" t="s">
        <v>132</v>
      </c>
      <c r="D45" s="115" t="s">
        <v>133</v>
      </c>
      <c r="E45" s="115" t="s">
        <v>129</v>
      </c>
      <c r="F45" s="115" t="s">
        <v>135</v>
      </c>
      <c r="G45" s="115" t="s">
        <v>42</v>
      </c>
      <c r="H45" s="115" t="s">
        <v>43</v>
      </c>
      <c r="I45" s="115">
        <v>30</v>
      </c>
      <c r="J45" s="115" t="str">
        <f>tabell_anskaffelsens_innhold[[#This Row],[Kravsett 1]]&amp;" "&amp;tabell_anskaffelsens_innhold[[#This Row],[Kravsett 2]]&amp;" "&amp;tabell_anskaffelsens_innhold[[#This Row],[Kravsett 3]]&amp;" "&amp;tabell_anskaffelsens_innhold[[#This Row],[Kravsett 4]]</f>
        <v xml:space="preserve">Generelle   </v>
      </c>
      <c r="K45" s="115" t="s">
        <v>44</v>
      </c>
      <c r="L45" s="115"/>
      <c r="M45" s="115"/>
      <c r="N45" s="121"/>
    </row>
    <row r="46" spans="2:14" ht="39.950000000000003" customHeight="1" x14ac:dyDescent="0.25">
      <c r="B46" s="120">
        <v>40</v>
      </c>
      <c r="C46" s="115" t="s">
        <v>136</v>
      </c>
      <c r="D46" s="115" t="s">
        <v>137</v>
      </c>
      <c r="E46" s="115" t="s">
        <v>40</v>
      </c>
      <c r="F46" s="115" t="s">
        <v>41</v>
      </c>
      <c r="G46" s="115" t="s">
        <v>42</v>
      </c>
      <c r="H46" s="115" t="s">
        <v>43</v>
      </c>
      <c r="I46" s="115"/>
      <c r="J46" s="115" t="str">
        <f>tabell_anskaffelsens_innhold[[#This Row],[Kravsett 1]]&amp;" "&amp;tabell_anskaffelsens_innhold[[#This Row],[Kravsett 2]]&amp;" "&amp;tabell_anskaffelsens_innhold[[#This Row],[Kravsett 3]]&amp;" "&amp;tabell_anskaffelsens_innhold[[#This Row],[Kravsett 4]]</f>
        <v xml:space="preserve">Generelle Inj/inf  </v>
      </c>
      <c r="K46" s="115" t="s">
        <v>44</v>
      </c>
      <c r="L46" s="115" t="s">
        <v>45</v>
      </c>
      <c r="M46" s="115"/>
      <c r="N46" s="121"/>
    </row>
    <row r="47" spans="2:14" ht="39.950000000000003" customHeight="1" x14ac:dyDescent="0.25">
      <c r="B47" s="120">
        <v>41</v>
      </c>
      <c r="C47" s="115" t="s">
        <v>138</v>
      </c>
      <c r="D47" s="115" t="s">
        <v>139</v>
      </c>
      <c r="E47" s="115" t="s">
        <v>40</v>
      </c>
      <c r="F47" s="115" t="s">
        <v>41</v>
      </c>
      <c r="G47" s="115" t="s">
        <v>42</v>
      </c>
      <c r="H47" s="115" t="s">
        <v>43</v>
      </c>
      <c r="I47" s="115"/>
      <c r="J47" s="115" t="str">
        <f>tabell_anskaffelsens_innhold[[#This Row],[Kravsett 1]]&amp;" "&amp;tabell_anskaffelsens_innhold[[#This Row],[Kravsett 2]]&amp;" "&amp;tabell_anskaffelsens_innhold[[#This Row],[Kravsett 3]]&amp;" "&amp;tabell_anskaffelsens_innhold[[#This Row],[Kravsett 4]]</f>
        <v xml:space="preserve">Generelle Inj/inf  </v>
      </c>
      <c r="K47" s="115" t="s">
        <v>44</v>
      </c>
      <c r="L47" s="115" t="s">
        <v>45</v>
      </c>
      <c r="M47" s="115"/>
      <c r="N47" s="121"/>
    </row>
    <row r="48" spans="2:14" ht="39.950000000000003" customHeight="1" x14ac:dyDescent="0.25">
      <c r="B48" s="120">
        <v>42</v>
      </c>
      <c r="C48" s="115" t="s">
        <v>140</v>
      </c>
      <c r="D48" s="115" t="s">
        <v>141</v>
      </c>
      <c r="E48" s="115" t="s">
        <v>40</v>
      </c>
      <c r="F48" s="115" t="s">
        <v>41</v>
      </c>
      <c r="G48" s="115" t="s">
        <v>42</v>
      </c>
      <c r="H48" s="115" t="s">
        <v>43</v>
      </c>
      <c r="I48" s="115"/>
      <c r="J48" s="115" t="str">
        <f>tabell_anskaffelsens_innhold[[#This Row],[Kravsett 1]]&amp;" "&amp;tabell_anskaffelsens_innhold[[#This Row],[Kravsett 2]]&amp;" "&amp;tabell_anskaffelsens_innhold[[#This Row],[Kravsett 3]]&amp;" "&amp;tabell_anskaffelsens_innhold[[#This Row],[Kravsett 4]]</f>
        <v xml:space="preserve">Generelle Inj/inf  </v>
      </c>
      <c r="K48" s="115" t="s">
        <v>44</v>
      </c>
      <c r="L48" s="115" t="s">
        <v>45</v>
      </c>
      <c r="M48" s="115"/>
      <c r="N48" s="121"/>
    </row>
    <row r="49" spans="2:14" ht="39.950000000000003" customHeight="1" x14ac:dyDescent="0.25">
      <c r="B49" s="120">
        <v>43</v>
      </c>
      <c r="C49" s="115" t="s">
        <v>142</v>
      </c>
      <c r="D49" s="115" t="s">
        <v>143</v>
      </c>
      <c r="E49" s="115" t="s">
        <v>55</v>
      </c>
      <c r="F49" s="115" t="s">
        <v>82</v>
      </c>
      <c r="G49" s="115" t="s">
        <v>42</v>
      </c>
      <c r="H49" s="115" t="s">
        <v>43</v>
      </c>
      <c r="I49" s="115"/>
      <c r="J49" s="115" t="str">
        <f>tabell_anskaffelsens_innhold[[#This Row],[Kravsett 1]]&amp;" "&amp;tabell_anskaffelsens_innhold[[#This Row],[Kravsett 2]]&amp;" "&amp;tabell_anskaffelsens_innhold[[#This Row],[Kravsett 3]]&amp;" "&amp;tabell_anskaffelsens_innhold[[#This Row],[Kravsett 4]]</f>
        <v xml:space="preserve">Generelle Tabletter/kapsler  </v>
      </c>
      <c r="K49" s="115" t="s">
        <v>44</v>
      </c>
      <c r="L49" s="115" t="s">
        <v>57</v>
      </c>
      <c r="M49" s="115"/>
      <c r="N49" s="121"/>
    </row>
    <row r="50" spans="2:14" ht="39.950000000000003" customHeight="1" x14ac:dyDescent="0.25">
      <c r="B50" s="120">
        <v>44</v>
      </c>
      <c r="C50" s="115" t="s">
        <v>144</v>
      </c>
      <c r="D50" s="115" t="s">
        <v>145</v>
      </c>
      <c r="E50" s="115" t="s">
        <v>55</v>
      </c>
      <c r="F50" s="115" t="s">
        <v>146</v>
      </c>
      <c r="G50" s="115" t="s">
        <v>42</v>
      </c>
      <c r="H50" s="115" t="s">
        <v>43</v>
      </c>
      <c r="I50" s="115"/>
      <c r="J50" s="115" t="str">
        <f>tabell_anskaffelsens_innhold[[#This Row],[Kravsett 1]]&amp;" "&amp;tabell_anskaffelsens_innhold[[#This Row],[Kravsett 2]]&amp;" "&amp;tabell_anskaffelsens_innhold[[#This Row],[Kravsett 3]]&amp;" "&amp;tabell_anskaffelsens_innhold[[#This Row],[Kravsett 4]]</f>
        <v xml:space="preserve">Generelle Tabletter/kapsler  </v>
      </c>
      <c r="K50" s="115" t="s">
        <v>44</v>
      </c>
      <c r="L50" s="115" t="s">
        <v>57</v>
      </c>
      <c r="M50" s="115"/>
      <c r="N50" s="121"/>
    </row>
    <row r="51" spans="2:14" ht="39.950000000000003" customHeight="1" x14ac:dyDescent="0.25">
      <c r="B51" s="120">
        <v>45</v>
      </c>
      <c r="C51" s="115" t="s">
        <v>147</v>
      </c>
      <c r="D51" s="115" t="s">
        <v>148</v>
      </c>
      <c r="E51" s="115" t="s">
        <v>55</v>
      </c>
      <c r="F51" s="115"/>
      <c r="G51" s="115" t="s">
        <v>106</v>
      </c>
      <c r="H51" s="115" t="s">
        <v>107</v>
      </c>
      <c r="I51" s="115"/>
      <c r="J51" s="115" t="str">
        <f>tabell_anskaffelsens_innhold[[#This Row],[Kravsett 1]]&amp;" "&amp;tabell_anskaffelsens_innhold[[#This Row],[Kravsett 2]]&amp;" "&amp;tabell_anskaffelsens_innhold[[#This Row],[Kravsett 3]]&amp;" "&amp;tabell_anskaffelsens_innhold[[#This Row],[Kravsett 4]]</f>
        <v xml:space="preserve">Generelle Tabletter/kapsler  </v>
      </c>
      <c r="K51" s="115" t="s">
        <v>44</v>
      </c>
      <c r="L51" s="115" t="s">
        <v>57</v>
      </c>
      <c r="M51" s="115"/>
      <c r="N51" s="121"/>
    </row>
    <row r="52" spans="2:14" ht="39.950000000000003" customHeight="1" x14ac:dyDescent="0.25">
      <c r="B52" s="120">
        <v>46</v>
      </c>
      <c r="C52" s="115" t="s">
        <v>149</v>
      </c>
      <c r="D52" s="115" t="s">
        <v>150</v>
      </c>
      <c r="E52" s="115" t="s">
        <v>40</v>
      </c>
      <c r="F52" s="115" t="s">
        <v>41</v>
      </c>
      <c r="G52" s="115" t="s">
        <v>42</v>
      </c>
      <c r="H52" s="115" t="s">
        <v>43</v>
      </c>
      <c r="I52" s="115">
        <v>30</v>
      </c>
      <c r="J52" s="115" t="str">
        <f>tabell_anskaffelsens_innhold[[#This Row],[Kravsett 1]]&amp;" "&amp;tabell_anskaffelsens_innhold[[#This Row],[Kravsett 2]]&amp;" "&amp;tabell_anskaffelsens_innhold[[#This Row],[Kravsett 3]]&amp;" "&amp;tabell_anskaffelsens_innhold[[#This Row],[Kravsett 4]]</f>
        <v xml:space="preserve">Generelle Inj/inf  </v>
      </c>
      <c r="K52" s="115" t="s">
        <v>44</v>
      </c>
      <c r="L52" s="115" t="s">
        <v>45</v>
      </c>
      <c r="M52" s="115"/>
      <c r="N52" s="121"/>
    </row>
    <row r="53" spans="2:14" ht="39.950000000000003" customHeight="1" x14ac:dyDescent="0.25">
      <c r="B53" s="120">
        <v>47</v>
      </c>
      <c r="C53" s="115" t="s">
        <v>151</v>
      </c>
      <c r="D53" s="115" t="s">
        <v>152</v>
      </c>
      <c r="E53" s="115" t="s">
        <v>60</v>
      </c>
      <c r="F53" s="115" t="s">
        <v>41</v>
      </c>
      <c r="G53" s="115" t="s">
        <v>42</v>
      </c>
      <c r="H53" s="115" t="s">
        <v>43</v>
      </c>
      <c r="I53" s="115">
        <v>180</v>
      </c>
      <c r="J53" s="115" t="str">
        <f>tabell_anskaffelsens_innhold[[#This Row],[Kravsett 1]]&amp;" "&amp;tabell_anskaffelsens_innhold[[#This Row],[Kravsett 2]]&amp;" "&amp;tabell_anskaffelsens_innhold[[#This Row],[Kravsett 3]]&amp;" "&amp;tabell_anskaffelsens_innhold[[#This Row],[Kravsett 4]]</f>
        <v xml:space="preserve">Generelle Inj/inf  </v>
      </c>
      <c r="K53" s="115" t="s">
        <v>44</v>
      </c>
      <c r="L53" s="115" t="s">
        <v>45</v>
      </c>
      <c r="M53" s="115"/>
      <c r="N53" s="121"/>
    </row>
    <row r="54" spans="2:14" ht="39.950000000000003" customHeight="1" x14ac:dyDescent="0.25">
      <c r="B54" s="120">
        <v>48</v>
      </c>
      <c r="C54" s="115" t="s">
        <v>153</v>
      </c>
      <c r="D54" s="115" t="s">
        <v>154</v>
      </c>
      <c r="E54" s="115" t="s">
        <v>85</v>
      </c>
      <c r="F54" s="115" t="s">
        <v>41</v>
      </c>
      <c r="G54" s="115" t="s">
        <v>42</v>
      </c>
      <c r="H54" s="115" t="s">
        <v>43</v>
      </c>
      <c r="I54" s="115"/>
      <c r="J54" s="115" t="str">
        <f>tabell_anskaffelsens_innhold[[#This Row],[Kravsett 1]]&amp;" "&amp;tabell_anskaffelsens_innhold[[#This Row],[Kravsett 2]]&amp;" "&amp;tabell_anskaffelsens_innhold[[#This Row],[Kravsett 3]]&amp;" "&amp;tabell_anskaffelsens_innhold[[#This Row],[Kravsett 4]]</f>
        <v xml:space="preserve">Generelle Tørrstoff  </v>
      </c>
      <c r="K54" s="115" t="s">
        <v>44</v>
      </c>
      <c r="L54" s="115" t="s">
        <v>85</v>
      </c>
      <c r="M54" s="115"/>
      <c r="N54" s="121"/>
    </row>
    <row r="55" spans="2:14" ht="39.950000000000003" customHeight="1" x14ac:dyDescent="0.25">
      <c r="B55" s="120">
        <v>49</v>
      </c>
      <c r="C55" s="115" t="s">
        <v>155</v>
      </c>
      <c r="D55" s="115" t="s">
        <v>156</v>
      </c>
      <c r="E55" s="115" t="s">
        <v>40</v>
      </c>
      <c r="F55" s="115" t="s">
        <v>157</v>
      </c>
      <c r="G55" s="115" t="s">
        <v>42</v>
      </c>
      <c r="H55" s="115" t="s">
        <v>43</v>
      </c>
      <c r="I55" s="115">
        <v>30</v>
      </c>
      <c r="J55" s="115" t="str">
        <f>tabell_anskaffelsens_innhold[[#This Row],[Kravsett 1]]&amp;" "&amp;tabell_anskaffelsens_innhold[[#This Row],[Kravsett 2]]&amp;" "&amp;tabell_anskaffelsens_innhold[[#This Row],[Kravsett 3]]&amp;" "&amp;tabell_anskaffelsens_innhold[[#This Row],[Kravsett 4]]</f>
        <v xml:space="preserve">Generelle Inj/inf  </v>
      </c>
      <c r="K55" s="115" t="s">
        <v>44</v>
      </c>
      <c r="L55" s="115" t="s">
        <v>45</v>
      </c>
      <c r="M55" s="115"/>
      <c r="N55" s="121"/>
    </row>
    <row r="56" spans="2:14" ht="39.950000000000003" customHeight="1" x14ac:dyDescent="0.25">
      <c r="B56" s="120">
        <v>50</v>
      </c>
      <c r="C56" s="115" t="s">
        <v>158</v>
      </c>
      <c r="D56" s="115" t="s">
        <v>159</v>
      </c>
      <c r="E56" s="115" t="s">
        <v>60</v>
      </c>
      <c r="F56" s="115" t="s">
        <v>41</v>
      </c>
      <c r="G56" s="115" t="s">
        <v>42</v>
      </c>
      <c r="H56" s="115" t="s">
        <v>43</v>
      </c>
      <c r="I56" s="115">
        <v>180</v>
      </c>
      <c r="J56" s="115" t="str">
        <f>tabell_anskaffelsens_innhold[[#This Row],[Kravsett 1]]&amp;" "&amp;tabell_anskaffelsens_innhold[[#This Row],[Kravsett 2]]&amp;" "&amp;tabell_anskaffelsens_innhold[[#This Row],[Kravsett 3]]&amp;" "&amp;tabell_anskaffelsens_innhold[[#This Row],[Kravsett 4]]</f>
        <v xml:space="preserve">Generelle Inj/inf J01EE01 Sulfametoksazol, Trimetoprim </v>
      </c>
      <c r="K56" s="115" t="s">
        <v>44</v>
      </c>
      <c r="L56" s="115" t="s">
        <v>45</v>
      </c>
      <c r="M56" s="115" t="s">
        <v>160</v>
      </c>
      <c r="N56" s="121"/>
    </row>
    <row r="57" spans="2:14" ht="39.950000000000003" customHeight="1" x14ac:dyDescent="0.25">
      <c r="B57" s="120">
        <v>52</v>
      </c>
      <c r="C57" s="115" t="s">
        <v>161</v>
      </c>
      <c r="D57" s="115" t="s">
        <v>162</v>
      </c>
      <c r="E57" s="115" t="s">
        <v>85</v>
      </c>
      <c r="F57" s="115" t="s">
        <v>41</v>
      </c>
      <c r="G57" s="115" t="s">
        <v>42</v>
      </c>
      <c r="H57" s="115" t="s">
        <v>43</v>
      </c>
      <c r="I57" s="115">
        <v>30</v>
      </c>
      <c r="J57" s="115" t="str">
        <f>tabell_anskaffelsens_innhold[[#This Row],[Kravsett 1]]&amp;" "&amp;tabell_anskaffelsens_innhold[[#This Row],[Kravsett 2]]&amp;" "&amp;tabell_anskaffelsens_innhold[[#This Row],[Kravsett 3]]&amp;" "&amp;tabell_anskaffelsens_innhold[[#This Row],[Kravsett 4]]</f>
        <v xml:space="preserve">Generelle Tørrstoff  </v>
      </c>
      <c r="K57" s="115" t="s">
        <v>44</v>
      </c>
      <c r="L57" s="115" t="s">
        <v>85</v>
      </c>
      <c r="M57" s="115"/>
      <c r="N57" s="121"/>
    </row>
    <row r="58" spans="2:14" ht="39.950000000000003" customHeight="1" x14ac:dyDescent="0.25">
      <c r="B58" s="120">
        <v>53</v>
      </c>
      <c r="C58" s="115" t="s">
        <v>163</v>
      </c>
      <c r="D58" s="115" t="s">
        <v>164</v>
      </c>
      <c r="E58" s="115" t="s">
        <v>165</v>
      </c>
      <c r="F58" s="115" t="s">
        <v>41</v>
      </c>
      <c r="G58" s="115" t="s">
        <v>106</v>
      </c>
      <c r="H58" s="115" t="s">
        <v>107</v>
      </c>
      <c r="I58" s="115"/>
      <c r="J58" s="115" t="str">
        <f>tabell_anskaffelsens_innhold[[#This Row],[Kravsett 1]]&amp;" "&amp;tabell_anskaffelsens_innhold[[#This Row],[Kravsett 2]]&amp;" "&amp;tabell_anskaffelsens_innhold[[#This Row],[Kravsett 3]]&amp;" "&amp;tabell_anskaffelsens_innhold[[#This Row],[Kravsett 4]]</f>
        <v xml:space="preserve">Generelle   </v>
      </c>
      <c r="K58" s="115" t="s">
        <v>44</v>
      </c>
      <c r="L58" s="115"/>
      <c r="M58" s="115"/>
      <c r="N58" s="121"/>
    </row>
    <row r="59" spans="2:14" ht="39.950000000000003" customHeight="1" x14ac:dyDescent="0.25">
      <c r="B59" s="120">
        <v>54</v>
      </c>
      <c r="C59" s="115" t="s">
        <v>163</v>
      </c>
      <c r="D59" s="115" t="s">
        <v>164</v>
      </c>
      <c r="E59" s="115" t="s">
        <v>40</v>
      </c>
      <c r="F59" s="115" t="s">
        <v>166</v>
      </c>
      <c r="G59" s="115" t="s">
        <v>42</v>
      </c>
      <c r="H59" s="115" t="s">
        <v>43</v>
      </c>
      <c r="I59" s="115"/>
      <c r="J59" s="115" t="str">
        <f>tabell_anskaffelsens_innhold[[#This Row],[Kravsett 1]]&amp;" "&amp;tabell_anskaffelsens_innhold[[#This Row],[Kravsett 2]]&amp;" "&amp;tabell_anskaffelsens_innhold[[#This Row],[Kravsett 3]]&amp;" "&amp;tabell_anskaffelsens_innhold[[#This Row],[Kravsett 4]]</f>
        <v xml:space="preserve">Generelle Inj/inf  </v>
      </c>
      <c r="K59" s="115" t="s">
        <v>44</v>
      </c>
      <c r="L59" s="115" t="s">
        <v>45</v>
      </c>
      <c r="M59" s="115"/>
      <c r="N59" s="121"/>
    </row>
    <row r="60" spans="2:14" ht="39.950000000000003" customHeight="1" x14ac:dyDescent="0.25">
      <c r="B60" s="120">
        <v>55</v>
      </c>
      <c r="C60" s="115" t="s">
        <v>167</v>
      </c>
      <c r="D60" s="115" t="s">
        <v>168</v>
      </c>
      <c r="E60" s="115" t="s">
        <v>93</v>
      </c>
      <c r="F60" s="115" t="s">
        <v>41</v>
      </c>
      <c r="G60" s="115" t="s">
        <v>42</v>
      </c>
      <c r="H60" s="115" t="s">
        <v>43</v>
      </c>
      <c r="I60" s="115"/>
      <c r="J60" s="115" t="str">
        <f>tabell_anskaffelsens_innhold[[#This Row],[Kravsett 1]]&amp;" "&amp;tabell_anskaffelsens_innhold[[#This Row],[Kravsett 2]]&amp;" "&amp;tabell_anskaffelsens_innhold[[#This Row],[Kravsett 3]]&amp;" "&amp;tabell_anskaffelsens_innhold[[#This Row],[Kravsett 4]]</f>
        <v xml:space="preserve">Generelle Inj/inf Infusjon </v>
      </c>
      <c r="K60" s="115" t="s">
        <v>44</v>
      </c>
      <c r="L60" s="115" t="s">
        <v>45</v>
      </c>
      <c r="M60" s="115" t="s">
        <v>93</v>
      </c>
      <c r="N60" s="121"/>
    </row>
    <row r="61" spans="2:14" ht="39.950000000000003" customHeight="1" x14ac:dyDescent="0.25">
      <c r="B61" s="120">
        <v>56</v>
      </c>
      <c r="C61" s="115" t="s">
        <v>169</v>
      </c>
      <c r="D61" s="115" t="s">
        <v>170</v>
      </c>
      <c r="E61" s="115" t="s">
        <v>93</v>
      </c>
      <c r="F61" s="115" t="s">
        <v>41</v>
      </c>
      <c r="G61" s="115" t="s">
        <v>42</v>
      </c>
      <c r="H61" s="115" t="s">
        <v>43</v>
      </c>
      <c r="I61" s="115">
        <v>180</v>
      </c>
      <c r="J61" s="115" t="str">
        <f>tabell_anskaffelsens_innhold[[#This Row],[Kravsett 1]]&amp;" "&amp;tabell_anskaffelsens_innhold[[#This Row],[Kravsett 2]]&amp;" "&amp;tabell_anskaffelsens_innhold[[#This Row],[Kravsett 3]]&amp;" "&amp;tabell_anskaffelsens_innhold[[#This Row],[Kravsett 4]]</f>
        <v xml:space="preserve">Generelle Inj/inf Infusjon </v>
      </c>
      <c r="K61" s="115" t="s">
        <v>44</v>
      </c>
      <c r="L61" s="115" t="s">
        <v>45</v>
      </c>
      <c r="M61" s="115" t="s">
        <v>93</v>
      </c>
      <c r="N61" s="121"/>
    </row>
    <row r="62" spans="2:14" ht="39.950000000000003" customHeight="1" x14ac:dyDescent="0.25">
      <c r="B62" s="120">
        <v>57</v>
      </c>
      <c r="C62" s="115" t="s">
        <v>171</v>
      </c>
      <c r="D62" s="115" t="s">
        <v>172</v>
      </c>
      <c r="E62" s="115" t="s">
        <v>55</v>
      </c>
      <c r="F62" s="115" t="s">
        <v>41</v>
      </c>
      <c r="G62" s="115" t="s">
        <v>42</v>
      </c>
      <c r="H62" s="115" t="s">
        <v>43</v>
      </c>
      <c r="I62" s="115"/>
      <c r="J62" s="115" t="str">
        <f>tabell_anskaffelsens_innhold[[#This Row],[Kravsett 1]]&amp;" "&amp;tabell_anskaffelsens_innhold[[#This Row],[Kravsett 2]]&amp;" "&amp;tabell_anskaffelsens_innhold[[#This Row],[Kravsett 3]]&amp;" "&amp;tabell_anskaffelsens_innhold[[#This Row],[Kravsett 4]]</f>
        <v xml:space="preserve">Generelle Tabletter/kapsler  </v>
      </c>
      <c r="K62" s="115" t="s">
        <v>44</v>
      </c>
      <c r="L62" s="115" t="s">
        <v>57</v>
      </c>
      <c r="M62" s="115"/>
      <c r="N62" s="121"/>
    </row>
    <row r="63" spans="2:14" ht="39.950000000000003" customHeight="1" x14ac:dyDescent="0.25">
      <c r="B63" s="120">
        <v>58</v>
      </c>
      <c r="C63" s="115" t="s">
        <v>173</v>
      </c>
      <c r="D63" s="115" t="s">
        <v>174</v>
      </c>
      <c r="E63" s="115" t="s">
        <v>85</v>
      </c>
      <c r="F63" s="115" t="s">
        <v>41</v>
      </c>
      <c r="G63" s="115" t="s">
        <v>42</v>
      </c>
      <c r="H63" s="115" t="s">
        <v>43</v>
      </c>
      <c r="I63" s="115">
        <v>30</v>
      </c>
      <c r="J63" s="115" t="str">
        <f>tabell_anskaffelsens_innhold[[#This Row],[Kravsett 1]]&amp;" "&amp;tabell_anskaffelsens_innhold[[#This Row],[Kravsett 2]]&amp;" "&amp;tabell_anskaffelsens_innhold[[#This Row],[Kravsett 3]]&amp;" "&amp;tabell_anskaffelsens_innhold[[#This Row],[Kravsett 4]]</f>
        <v xml:space="preserve">Generelle Tørrstoff  </v>
      </c>
      <c r="K63" s="115" t="s">
        <v>44</v>
      </c>
      <c r="L63" s="115" t="s">
        <v>85</v>
      </c>
      <c r="M63" s="115"/>
      <c r="N63" s="121"/>
    </row>
    <row r="64" spans="2:14" ht="39.950000000000003" customHeight="1" x14ac:dyDescent="0.25">
      <c r="B64" s="120">
        <v>59</v>
      </c>
      <c r="C64" s="115" t="s">
        <v>175</v>
      </c>
      <c r="D64" s="115" t="s">
        <v>176</v>
      </c>
      <c r="E64" s="115" t="s">
        <v>60</v>
      </c>
      <c r="F64" s="115" t="s">
        <v>41</v>
      </c>
      <c r="G64" s="115" t="s">
        <v>42</v>
      </c>
      <c r="H64" s="115" t="s">
        <v>43</v>
      </c>
      <c r="I64" s="115">
        <v>180</v>
      </c>
      <c r="J64" s="115" t="str">
        <f>tabell_anskaffelsens_innhold[[#This Row],[Kravsett 1]]&amp;" "&amp;tabell_anskaffelsens_innhold[[#This Row],[Kravsett 2]]&amp;" "&amp;tabell_anskaffelsens_innhold[[#This Row],[Kravsett 3]]&amp;" "&amp;tabell_anskaffelsens_innhold[[#This Row],[Kravsett 4]]</f>
        <v xml:space="preserve">Generelle Inj/inf  </v>
      </c>
      <c r="K64" s="115" t="s">
        <v>44</v>
      </c>
      <c r="L64" s="115" t="s">
        <v>45</v>
      </c>
      <c r="M64" s="115"/>
      <c r="N64" s="121"/>
    </row>
    <row r="65" spans="2:14" ht="39.950000000000003" customHeight="1" x14ac:dyDescent="0.25">
      <c r="B65" s="120">
        <v>60</v>
      </c>
      <c r="C65" s="115" t="s">
        <v>177</v>
      </c>
      <c r="D65" s="115" t="s">
        <v>178</v>
      </c>
      <c r="E65" s="115" t="s">
        <v>93</v>
      </c>
      <c r="F65" s="115" t="s">
        <v>41</v>
      </c>
      <c r="G65" s="115" t="s">
        <v>42</v>
      </c>
      <c r="H65" s="115" t="s">
        <v>43</v>
      </c>
      <c r="I65" s="115">
        <v>30</v>
      </c>
      <c r="J65" s="115" t="str">
        <f>tabell_anskaffelsens_innhold[[#This Row],[Kravsett 1]]&amp;" "&amp;tabell_anskaffelsens_innhold[[#This Row],[Kravsett 2]]&amp;" "&amp;tabell_anskaffelsens_innhold[[#This Row],[Kravsett 3]]&amp;" "&amp;tabell_anskaffelsens_innhold[[#This Row],[Kravsett 4]]</f>
        <v xml:space="preserve">Generelle Inj/inf Infusjon </v>
      </c>
      <c r="K65" s="115" t="s">
        <v>44</v>
      </c>
      <c r="L65" s="115" t="s">
        <v>45</v>
      </c>
      <c r="M65" s="115" t="s">
        <v>93</v>
      </c>
      <c r="N65" s="121"/>
    </row>
    <row r="66" spans="2:14" ht="39.950000000000003" customHeight="1" x14ac:dyDescent="0.25">
      <c r="B66" s="120">
        <v>61</v>
      </c>
      <c r="C66" s="115" t="s">
        <v>179</v>
      </c>
      <c r="D66" s="115" t="s">
        <v>180</v>
      </c>
      <c r="E66" s="115" t="s">
        <v>55</v>
      </c>
      <c r="F66" s="115" t="s">
        <v>41</v>
      </c>
      <c r="G66" s="115" t="s">
        <v>42</v>
      </c>
      <c r="H66" s="115" t="s">
        <v>43</v>
      </c>
      <c r="I66" s="115"/>
      <c r="J66" s="115" t="str">
        <f>tabell_anskaffelsens_innhold[[#This Row],[Kravsett 1]]&amp;" "&amp;tabell_anskaffelsens_innhold[[#This Row],[Kravsett 2]]&amp;" "&amp;tabell_anskaffelsens_innhold[[#This Row],[Kravsett 3]]&amp;" "&amp;tabell_anskaffelsens_innhold[[#This Row],[Kravsett 4]]</f>
        <v xml:space="preserve">Generelle Tabletter/kapsler  </v>
      </c>
      <c r="K66" s="115" t="s">
        <v>44</v>
      </c>
      <c r="L66" s="115" t="s">
        <v>57</v>
      </c>
      <c r="M66" s="115"/>
      <c r="N66" s="121"/>
    </row>
    <row r="67" spans="2:14" ht="39.950000000000003" customHeight="1" x14ac:dyDescent="0.25">
      <c r="B67" s="120">
        <v>62</v>
      </c>
      <c r="C67" s="115" t="s">
        <v>181</v>
      </c>
      <c r="D67" s="115" t="s">
        <v>182</v>
      </c>
      <c r="E67" s="115" t="s">
        <v>85</v>
      </c>
      <c r="F67" s="115" t="s">
        <v>41</v>
      </c>
      <c r="G67" s="115" t="s">
        <v>42</v>
      </c>
      <c r="H67" s="115" t="s">
        <v>43</v>
      </c>
      <c r="I67" s="115"/>
      <c r="J67" s="115" t="str">
        <f>tabell_anskaffelsens_innhold[[#This Row],[Kravsett 1]]&amp;" "&amp;tabell_anskaffelsens_innhold[[#This Row],[Kravsett 2]]&amp;" "&amp;tabell_anskaffelsens_innhold[[#This Row],[Kravsett 3]]&amp;" "&amp;tabell_anskaffelsens_innhold[[#This Row],[Kravsett 4]]</f>
        <v xml:space="preserve">Generelle Tørrstoff  </v>
      </c>
      <c r="K67" s="115" t="s">
        <v>44</v>
      </c>
      <c r="L67" s="115" t="s">
        <v>85</v>
      </c>
      <c r="M67" s="115"/>
      <c r="N67" s="121"/>
    </row>
    <row r="68" spans="2:14" ht="39.950000000000003" customHeight="1" x14ac:dyDescent="0.25">
      <c r="B68" s="120">
        <v>63</v>
      </c>
      <c r="C68" s="115" t="s">
        <v>183</v>
      </c>
      <c r="D68" s="115" t="s">
        <v>184</v>
      </c>
      <c r="E68" s="115" t="s">
        <v>60</v>
      </c>
      <c r="F68" s="115" t="s">
        <v>41</v>
      </c>
      <c r="G68" s="115" t="s">
        <v>42</v>
      </c>
      <c r="H68" s="115" t="s">
        <v>43</v>
      </c>
      <c r="I68" s="115">
        <v>30</v>
      </c>
      <c r="J68" s="115" t="str">
        <f>tabell_anskaffelsens_innhold[[#This Row],[Kravsett 1]]&amp;" "&amp;tabell_anskaffelsens_innhold[[#This Row],[Kravsett 2]]&amp;" "&amp;tabell_anskaffelsens_innhold[[#This Row],[Kravsett 3]]&amp;" "&amp;tabell_anskaffelsens_innhold[[#This Row],[Kravsett 4]]</f>
        <v xml:space="preserve">Generelle Inj/inf  </v>
      </c>
      <c r="K68" s="115" t="s">
        <v>44</v>
      </c>
      <c r="L68" s="115" t="s">
        <v>45</v>
      </c>
      <c r="M68" s="115"/>
      <c r="N68" s="121"/>
    </row>
    <row r="69" spans="2:14" ht="39.950000000000003" customHeight="1" x14ac:dyDescent="0.25">
      <c r="B69" s="120">
        <v>64</v>
      </c>
      <c r="C69" s="115" t="s">
        <v>185</v>
      </c>
      <c r="D69" s="115" t="s">
        <v>184</v>
      </c>
      <c r="E69" s="115" t="s">
        <v>60</v>
      </c>
      <c r="F69" s="115" t="s">
        <v>41</v>
      </c>
      <c r="G69" s="115" t="s">
        <v>42</v>
      </c>
      <c r="H69" s="115" t="s">
        <v>43</v>
      </c>
      <c r="I69" s="115">
        <v>180</v>
      </c>
      <c r="J69" s="115" t="str">
        <f>tabell_anskaffelsens_innhold[[#This Row],[Kravsett 1]]&amp;" "&amp;tabell_anskaffelsens_innhold[[#This Row],[Kravsett 2]]&amp;" "&amp;tabell_anskaffelsens_innhold[[#This Row],[Kravsett 3]]&amp;" "&amp;tabell_anskaffelsens_innhold[[#This Row],[Kravsett 4]]</f>
        <v xml:space="preserve">Generelle Inj/inf  </v>
      </c>
      <c r="K69" s="115" t="s">
        <v>44</v>
      </c>
      <c r="L69" s="115" t="s">
        <v>45</v>
      </c>
      <c r="M69" s="115"/>
      <c r="N69" s="121"/>
    </row>
    <row r="70" spans="2:14" ht="39.950000000000003" customHeight="1" x14ac:dyDescent="0.25">
      <c r="B70" s="120">
        <v>65</v>
      </c>
      <c r="C70" s="115" t="s">
        <v>186</v>
      </c>
      <c r="D70" s="115" t="s">
        <v>187</v>
      </c>
      <c r="E70" s="115" t="s">
        <v>188</v>
      </c>
      <c r="F70" s="115" t="s">
        <v>41</v>
      </c>
      <c r="G70" s="115" t="s">
        <v>106</v>
      </c>
      <c r="H70" s="115" t="s">
        <v>107</v>
      </c>
      <c r="I70" s="115"/>
      <c r="J70" s="115" t="str">
        <f>tabell_anskaffelsens_innhold[[#This Row],[Kravsett 1]]&amp;" "&amp;tabell_anskaffelsens_innhold[[#This Row],[Kravsett 2]]&amp;" "&amp;tabell_anskaffelsens_innhold[[#This Row],[Kravsett 3]]&amp;" "&amp;tabell_anskaffelsens_innhold[[#This Row],[Kravsett 4]]</f>
        <v xml:space="preserve">Generelle   </v>
      </c>
      <c r="K70" s="115" t="s">
        <v>44</v>
      </c>
      <c r="L70" s="115"/>
      <c r="M70" s="115"/>
      <c r="N70" s="121"/>
    </row>
    <row r="71" spans="2:14" ht="39.950000000000003" customHeight="1" x14ac:dyDescent="0.25">
      <c r="B71" s="120">
        <v>66</v>
      </c>
      <c r="C71" s="115" t="s">
        <v>189</v>
      </c>
      <c r="D71" s="115" t="s">
        <v>190</v>
      </c>
      <c r="E71" s="115" t="s">
        <v>85</v>
      </c>
      <c r="F71" s="115" t="s">
        <v>41</v>
      </c>
      <c r="G71" s="115" t="s">
        <v>42</v>
      </c>
      <c r="H71" s="115" t="s">
        <v>43</v>
      </c>
      <c r="I71" s="115">
        <v>30</v>
      </c>
      <c r="J71" s="115" t="str">
        <f>tabell_anskaffelsens_innhold[[#This Row],[Kravsett 1]]&amp;" "&amp;tabell_anskaffelsens_innhold[[#This Row],[Kravsett 2]]&amp;" "&amp;tabell_anskaffelsens_innhold[[#This Row],[Kravsett 3]]&amp;" "&amp;tabell_anskaffelsens_innhold[[#This Row],[Kravsett 4]]</f>
        <v xml:space="preserve">Generelle Tørrstoff  </v>
      </c>
      <c r="K71" s="115" t="s">
        <v>44</v>
      </c>
      <c r="L71" s="115" t="s">
        <v>85</v>
      </c>
      <c r="M71" s="115"/>
      <c r="N71" s="121"/>
    </row>
    <row r="72" spans="2:14" ht="39.950000000000003" customHeight="1" x14ac:dyDescent="0.25">
      <c r="B72" s="120">
        <v>67</v>
      </c>
      <c r="C72" s="115" t="s">
        <v>191</v>
      </c>
      <c r="D72" s="115" t="s">
        <v>192</v>
      </c>
      <c r="E72" s="115" t="s">
        <v>55</v>
      </c>
      <c r="F72" s="115" t="s">
        <v>193</v>
      </c>
      <c r="G72" s="115" t="s">
        <v>42</v>
      </c>
      <c r="H72" s="115" t="s">
        <v>43</v>
      </c>
      <c r="I72" s="115"/>
      <c r="J72" s="115" t="str">
        <f>tabell_anskaffelsens_innhold[[#This Row],[Kravsett 1]]&amp;" "&amp;tabell_anskaffelsens_innhold[[#This Row],[Kravsett 2]]&amp;" "&amp;tabell_anskaffelsens_innhold[[#This Row],[Kravsett 3]]&amp;" "&amp;tabell_anskaffelsens_innhold[[#This Row],[Kravsett 4]]</f>
        <v xml:space="preserve">Generelle Tabletter/kapsler  </v>
      </c>
      <c r="K72" s="115" t="s">
        <v>44</v>
      </c>
      <c r="L72" s="115" t="s">
        <v>57</v>
      </c>
      <c r="M72" s="115"/>
      <c r="N72" s="121"/>
    </row>
    <row r="73" spans="2:14" ht="39.950000000000003" customHeight="1" x14ac:dyDescent="0.25">
      <c r="B73" s="120">
        <v>68</v>
      </c>
      <c r="C73" s="115" t="s">
        <v>194</v>
      </c>
      <c r="D73" s="115" t="s">
        <v>195</v>
      </c>
      <c r="E73" s="115" t="s">
        <v>196</v>
      </c>
      <c r="F73" s="115"/>
      <c r="G73" s="115" t="s">
        <v>42</v>
      </c>
      <c r="H73" s="115" t="s">
        <v>43</v>
      </c>
      <c r="I73" s="115"/>
      <c r="J73" s="115" t="str">
        <f>tabell_anskaffelsens_innhold[[#This Row],[Kravsett 1]]&amp;" "&amp;tabell_anskaffelsens_innhold[[#This Row],[Kravsett 2]]&amp;" "&amp;tabell_anskaffelsens_innhold[[#This Row],[Kravsett 3]]&amp;" "&amp;tabell_anskaffelsens_innhold[[#This Row],[Kravsett 4]]</f>
        <v xml:space="preserve">Generelle   </v>
      </c>
      <c r="K73" s="115" t="s">
        <v>44</v>
      </c>
      <c r="L73" s="115"/>
      <c r="M73" s="115"/>
      <c r="N73" s="121"/>
    </row>
    <row r="74" spans="2:14" ht="39.950000000000003" customHeight="1" x14ac:dyDescent="0.25">
      <c r="B74" s="120">
        <v>69</v>
      </c>
      <c r="C74" s="115" t="s">
        <v>197</v>
      </c>
      <c r="D74" s="115" t="s">
        <v>198</v>
      </c>
      <c r="E74" s="115" t="s">
        <v>40</v>
      </c>
      <c r="F74" s="115" t="s">
        <v>56</v>
      </c>
      <c r="G74" s="115" t="s">
        <v>42</v>
      </c>
      <c r="H74" s="115" t="s">
        <v>43</v>
      </c>
      <c r="I74" s="115"/>
      <c r="J74" s="115" t="str">
        <f>tabell_anskaffelsens_innhold[[#This Row],[Kravsett 1]]&amp;" "&amp;tabell_anskaffelsens_innhold[[#This Row],[Kravsett 2]]&amp;" "&amp;tabell_anskaffelsens_innhold[[#This Row],[Kravsett 3]]&amp;" "&amp;tabell_anskaffelsens_innhold[[#This Row],[Kravsett 4]]</f>
        <v xml:space="preserve">Generelle Inj/inf  </v>
      </c>
      <c r="K74" s="115" t="s">
        <v>44</v>
      </c>
      <c r="L74" s="115" t="s">
        <v>45</v>
      </c>
      <c r="M74" s="115"/>
      <c r="N74" s="121"/>
    </row>
    <row r="75" spans="2:14" ht="39.950000000000003" customHeight="1" x14ac:dyDescent="0.25">
      <c r="B75" s="120">
        <v>70</v>
      </c>
      <c r="C75" s="115" t="s">
        <v>199</v>
      </c>
      <c r="D75" s="115" t="s">
        <v>200</v>
      </c>
      <c r="E75" s="115" t="s">
        <v>49</v>
      </c>
      <c r="F75" s="115" t="s">
        <v>201</v>
      </c>
      <c r="G75" s="115" t="s">
        <v>42</v>
      </c>
      <c r="H75" s="115" t="s">
        <v>43</v>
      </c>
      <c r="I75" s="115">
        <v>180</v>
      </c>
      <c r="J75" s="115" t="str">
        <f>tabell_anskaffelsens_innhold[[#This Row],[Kravsett 1]]&amp;" "&amp;tabell_anskaffelsens_innhold[[#This Row],[Kravsett 2]]&amp;" "&amp;tabell_anskaffelsens_innhold[[#This Row],[Kravsett 3]]&amp;" "&amp;tabell_anskaffelsens_innhold[[#This Row],[Kravsett 4]]</f>
        <v xml:space="preserve">Generelle Mikstur/dråper  </v>
      </c>
      <c r="K75" s="115" t="s">
        <v>44</v>
      </c>
      <c r="L75" s="115" t="s">
        <v>49</v>
      </c>
      <c r="M75" s="115"/>
      <c r="N75" s="121"/>
    </row>
    <row r="76" spans="2:14" ht="39.950000000000003" customHeight="1" x14ac:dyDescent="0.25">
      <c r="B76" s="120">
        <v>71</v>
      </c>
      <c r="C76" s="115" t="s">
        <v>199</v>
      </c>
      <c r="D76" s="115" t="s">
        <v>200</v>
      </c>
      <c r="E76" s="115" t="s">
        <v>202</v>
      </c>
      <c r="F76" s="115"/>
      <c r="G76" s="115" t="s">
        <v>42</v>
      </c>
      <c r="H76" s="115" t="s">
        <v>43</v>
      </c>
      <c r="I76" s="115"/>
      <c r="J76" s="115" t="str">
        <f>tabell_anskaffelsens_innhold[[#This Row],[Kravsett 1]]&amp;" "&amp;tabell_anskaffelsens_innhold[[#This Row],[Kravsett 2]]&amp;" "&amp;tabell_anskaffelsens_innhold[[#This Row],[Kravsett 3]]&amp;" "&amp;tabell_anskaffelsens_innhold[[#This Row],[Kravsett 4]]</f>
        <v xml:space="preserve">Generelle   </v>
      </c>
      <c r="K76" s="115" t="s">
        <v>44</v>
      </c>
      <c r="L76" s="115"/>
      <c r="M76" s="115"/>
      <c r="N76" s="121"/>
    </row>
    <row r="77" spans="2:14" ht="39.950000000000003" customHeight="1" x14ac:dyDescent="0.25">
      <c r="B77" s="120">
        <v>73</v>
      </c>
      <c r="C77" s="115" t="s">
        <v>203</v>
      </c>
      <c r="D77" s="115" t="s">
        <v>204</v>
      </c>
      <c r="E77" s="115" t="s">
        <v>40</v>
      </c>
      <c r="F77" s="115" t="s">
        <v>41</v>
      </c>
      <c r="G77" s="115" t="s">
        <v>42</v>
      </c>
      <c r="H77" s="115" t="s">
        <v>43</v>
      </c>
      <c r="I77" s="115"/>
      <c r="J77" s="115" t="str">
        <f>tabell_anskaffelsens_innhold[[#This Row],[Kravsett 1]]&amp;" "&amp;tabell_anskaffelsens_innhold[[#This Row],[Kravsett 2]]&amp;" "&amp;tabell_anskaffelsens_innhold[[#This Row],[Kravsett 3]]&amp;" "&amp;tabell_anskaffelsens_innhold[[#This Row],[Kravsett 4]]</f>
        <v xml:space="preserve">Generelle Inj/inf  </v>
      </c>
      <c r="K77" s="115" t="s">
        <v>44</v>
      </c>
      <c r="L77" s="115" t="s">
        <v>45</v>
      </c>
      <c r="M77" s="115"/>
      <c r="N77" s="121"/>
    </row>
    <row r="78" spans="2:14" ht="39.950000000000003" customHeight="1" x14ac:dyDescent="0.25">
      <c r="B78" s="120">
        <v>74</v>
      </c>
      <c r="C78" s="115" t="s">
        <v>205</v>
      </c>
      <c r="D78" s="115" t="s">
        <v>206</v>
      </c>
      <c r="E78" s="115" t="s">
        <v>40</v>
      </c>
      <c r="F78" s="115" t="s">
        <v>56</v>
      </c>
      <c r="G78" s="115" t="s">
        <v>42</v>
      </c>
      <c r="H78" s="115" t="s">
        <v>43</v>
      </c>
      <c r="I78" s="115">
        <v>180</v>
      </c>
      <c r="J78" s="115" t="str">
        <f>tabell_anskaffelsens_innhold[[#This Row],[Kravsett 1]]&amp;" "&amp;tabell_anskaffelsens_innhold[[#This Row],[Kravsett 2]]&amp;" "&amp;tabell_anskaffelsens_innhold[[#This Row],[Kravsett 3]]&amp;" "&amp;tabell_anskaffelsens_innhold[[#This Row],[Kravsett 4]]</f>
        <v xml:space="preserve">Generelle Inj/inf  </v>
      </c>
      <c r="K78" s="115" t="s">
        <v>44</v>
      </c>
      <c r="L78" s="115" t="s">
        <v>45</v>
      </c>
      <c r="M78" s="115"/>
      <c r="N78" s="121"/>
    </row>
    <row r="79" spans="2:14" ht="39.950000000000003" customHeight="1" x14ac:dyDescent="0.25">
      <c r="B79" s="120">
        <v>75</v>
      </c>
      <c r="C79" s="115" t="s">
        <v>207</v>
      </c>
      <c r="D79" s="115" t="s">
        <v>208</v>
      </c>
      <c r="E79" s="115" t="s">
        <v>40</v>
      </c>
      <c r="F79" s="115" t="s">
        <v>209</v>
      </c>
      <c r="G79" s="115" t="s">
        <v>42</v>
      </c>
      <c r="H79" s="115" t="s">
        <v>43</v>
      </c>
      <c r="I79" s="115"/>
      <c r="J79" s="115" t="str">
        <f>tabell_anskaffelsens_innhold[[#This Row],[Kravsett 1]]&amp;" "&amp;tabell_anskaffelsens_innhold[[#This Row],[Kravsett 2]]&amp;" "&amp;tabell_anskaffelsens_innhold[[#This Row],[Kravsett 3]]&amp;" "&amp;tabell_anskaffelsens_innhold[[#This Row],[Kravsett 4]]</f>
        <v xml:space="preserve">Generelle Inj/inf  </v>
      </c>
      <c r="K79" s="115" t="s">
        <v>44</v>
      </c>
      <c r="L79" s="115" t="s">
        <v>45</v>
      </c>
      <c r="M79" s="115"/>
      <c r="N79" s="121"/>
    </row>
    <row r="80" spans="2:14" ht="39.950000000000003" customHeight="1" x14ac:dyDescent="0.25">
      <c r="B80" s="120">
        <v>76</v>
      </c>
      <c r="C80" s="115" t="s">
        <v>210</v>
      </c>
      <c r="D80" s="115" t="s">
        <v>211</v>
      </c>
      <c r="E80" s="115" t="s">
        <v>40</v>
      </c>
      <c r="F80" s="115" t="s">
        <v>41</v>
      </c>
      <c r="G80" s="115" t="s">
        <v>42</v>
      </c>
      <c r="H80" s="115" t="s">
        <v>43</v>
      </c>
      <c r="I80" s="115"/>
      <c r="J80" s="115" t="str">
        <f>tabell_anskaffelsens_innhold[[#This Row],[Kravsett 1]]&amp;" "&amp;tabell_anskaffelsens_innhold[[#This Row],[Kravsett 2]]&amp;" "&amp;tabell_anskaffelsens_innhold[[#This Row],[Kravsett 3]]&amp;" "&amp;tabell_anskaffelsens_innhold[[#This Row],[Kravsett 4]]</f>
        <v xml:space="preserve">Generelle Inj/inf  </v>
      </c>
      <c r="K80" s="115" t="s">
        <v>44</v>
      </c>
      <c r="L80" s="115" t="s">
        <v>45</v>
      </c>
      <c r="M80" s="115"/>
      <c r="N80" s="121"/>
    </row>
    <row r="81" spans="2:14" ht="39.950000000000003" customHeight="1" x14ac:dyDescent="0.25">
      <c r="B81" s="120">
        <v>77</v>
      </c>
      <c r="C81" s="115" t="s">
        <v>212</v>
      </c>
      <c r="D81" s="115" t="s">
        <v>213</v>
      </c>
      <c r="E81" s="115" t="s">
        <v>188</v>
      </c>
      <c r="F81" s="115" t="s">
        <v>41</v>
      </c>
      <c r="G81" s="115" t="s">
        <v>106</v>
      </c>
      <c r="H81" s="115" t="s">
        <v>107</v>
      </c>
      <c r="I81" s="115"/>
      <c r="J81" s="115" t="str">
        <f>tabell_anskaffelsens_innhold[[#This Row],[Kravsett 1]]&amp;" "&amp;tabell_anskaffelsens_innhold[[#This Row],[Kravsett 2]]&amp;" "&amp;tabell_anskaffelsens_innhold[[#This Row],[Kravsett 3]]&amp;" "&amp;tabell_anskaffelsens_innhold[[#This Row],[Kravsett 4]]</f>
        <v xml:space="preserve">Generelle   </v>
      </c>
      <c r="K81" s="115" t="s">
        <v>44</v>
      </c>
      <c r="L81" s="115"/>
      <c r="M81" s="115"/>
      <c r="N81" s="121"/>
    </row>
    <row r="82" spans="2:14" ht="39.950000000000003" customHeight="1" x14ac:dyDescent="0.25">
      <c r="B82" s="120">
        <v>78</v>
      </c>
      <c r="C82" s="115" t="s">
        <v>212</v>
      </c>
      <c r="D82" s="115" t="s">
        <v>213</v>
      </c>
      <c r="E82" s="115" t="s">
        <v>55</v>
      </c>
      <c r="F82" s="115" t="s">
        <v>214</v>
      </c>
      <c r="G82" s="115" t="s">
        <v>42</v>
      </c>
      <c r="H82" s="115" t="s">
        <v>43</v>
      </c>
      <c r="I82" s="115">
        <v>180</v>
      </c>
      <c r="J82" s="115" t="str">
        <f>tabell_anskaffelsens_innhold[[#This Row],[Kravsett 1]]&amp;" "&amp;tabell_anskaffelsens_innhold[[#This Row],[Kravsett 2]]&amp;" "&amp;tabell_anskaffelsens_innhold[[#This Row],[Kravsett 3]]&amp;" "&amp;tabell_anskaffelsens_innhold[[#This Row],[Kravsett 4]]</f>
        <v xml:space="preserve">Generelle Tabletter/kapsler  </v>
      </c>
      <c r="K82" s="115" t="s">
        <v>44</v>
      </c>
      <c r="L82" s="115" t="s">
        <v>57</v>
      </c>
      <c r="M82" s="115"/>
      <c r="N82" s="121"/>
    </row>
    <row r="83" spans="2:14" ht="39.950000000000003" customHeight="1" x14ac:dyDescent="0.25">
      <c r="B83" s="120">
        <v>79</v>
      </c>
      <c r="C83" s="115" t="s">
        <v>212</v>
      </c>
      <c r="D83" s="115" t="s">
        <v>213</v>
      </c>
      <c r="E83" s="115" t="s">
        <v>85</v>
      </c>
      <c r="F83" s="115" t="s">
        <v>41</v>
      </c>
      <c r="G83" s="115" t="s">
        <v>42</v>
      </c>
      <c r="H83" s="115" t="s">
        <v>43</v>
      </c>
      <c r="I83" s="115"/>
      <c r="J83" s="115" t="str">
        <f>tabell_anskaffelsens_innhold[[#This Row],[Kravsett 1]]&amp;" "&amp;tabell_anskaffelsens_innhold[[#This Row],[Kravsett 2]]&amp;" "&amp;tabell_anskaffelsens_innhold[[#This Row],[Kravsett 3]]&amp;" "&amp;tabell_anskaffelsens_innhold[[#This Row],[Kravsett 4]]</f>
        <v xml:space="preserve">Generelle Tørrstoff  </v>
      </c>
      <c r="K83" s="115" t="s">
        <v>44</v>
      </c>
      <c r="L83" s="115" t="s">
        <v>85</v>
      </c>
      <c r="M83" s="115"/>
      <c r="N83" s="121"/>
    </row>
    <row r="84" spans="2:14" ht="39.950000000000003" customHeight="1" x14ac:dyDescent="0.25">
      <c r="B84" s="120">
        <v>80</v>
      </c>
      <c r="C84" s="115" t="s">
        <v>215</v>
      </c>
      <c r="D84" s="115" t="s">
        <v>216</v>
      </c>
      <c r="E84" s="115" t="s">
        <v>49</v>
      </c>
      <c r="F84" s="115" t="s">
        <v>217</v>
      </c>
      <c r="G84" s="115" t="s">
        <v>42</v>
      </c>
      <c r="H84" s="115" t="s">
        <v>43</v>
      </c>
      <c r="I84" s="115"/>
      <c r="J84" s="115" t="str">
        <f>tabell_anskaffelsens_innhold[[#This Row],[Kravsett 1]]&amp;" "&amp;tabell_anskaffelsens_innhold[[#This Row],[Kravsett 2]]&amp;" "&amp;tabell_anskaffelsens_innhold[[#This Row],[Kravsett 3]]&amp;" "&amp;tabell_anskaffelsens_innhold[[#This Row],[Kravsett 4]]</f>
        <v xml:space="preserve">Generelle Mikstur/dråper  </v>
      </c>
      <c r="K84" s="115" t="s">
        <v>44</v>
      </c>
      <c r="L84" s="115" t="s">
        <v>49</v>
      </c>
      <c r="M84" s="115"/>
      <c r="N84" s="121"/>
    </row>
    <row r="85" spans="2:14" ht="39.950000000000003" customHeight="1" x14ac:dyDescent="0.25">
      <c r="B85" s="120">
        <v>81</v>
      </c>
      <c r="C85" s="115" t="s">
        <v>218</v>
      </c>
      <c r="D85" s="115" t="s">
        <v>219</v>
      </c>
      <c r="E85" s="115" t="s">
        <v>220</v>
      </c>
      <c r="F85" s="115" t="s">
        <v>41</v>
      </c>
      <c r="G85" s="115" t="s">
        <v>106</v>
      </c>
      <c r="H85" s="115" t="s">
        <v>107</v>
      </c>
      <c r="I85" s="115"/>
      <c r="J85" s="115" t="str">
        <f>tabell_anskaffelsens_innhold[[#This Row],[Kravsett 1]]&amp;" "&amp;tabell_anskaffelsens_innhold[[#This Row],[Kravsett 2]]&amp;" "&amp;tabell_anskaffelsens_innhold[[#This Row],[Kravsett 3]]&amp;" "&amp;tabell_anskaffelsens_innhold[[#This Row],[Kravsett 4]]</f>
        <v xml:space="preserve">Generelle   </v>
      </c>
      <c r="K85" s="115" t="s">
        <v>44</v>
      </c>
      <c r="L85" s="115"/>
      <c r="M85" s="115"/>
      <c r="N85" s="121"/>
    </row>
    <row r="86" spans="2:14" ht="39.950000000000003" customHeight="1" x14ac:dyDescent="0.25">
      <c r="B86" s="120">
        <v>82</v>
      </c>
      <c r="C86" s="115" t="s">
        <v>221</v>
      </c>
      <c r="D86" s="115" t="s">
        <v>95</v>
      </c>
      <c r="E86" s="115" t="s">
        <v>55</v>
      </c>
      <c r="F86" s="115" t="s">
        <v>41</v>
      </c>
      <c r="G86" s="115" t="s">
        <v>42</v>
      </c>
      <c r="H86" s="115" t="s">
        <v>43</v>
      </c>
      <c r="I86" s="115"/>
      <c r="J86" s="115" t="str">
        <f>tabell_anskaffelsens_innhold[[#This Row],[Kravsett 1]]&amp;" "&amp;tabell_anskaffelsens_innhold[[#This Row],[Kravsett 2]]&amp;" "&amp;tabell_anskaffelsens_innhold[[#This Row],[Kravsett 3]]&amp;" "&amp;tabell_anskaffelsens_innhold[[#This Row],[Kravsett 4]]</f>
        <v xml:space="preserve">Generelle Tabletter/kapsler  </v>
      </c>
      <c r="K86" s="115" t="s">
        <v>44</v>
      </c>
      <c r="L86" s="115" t="s">
        <v>57</v>
      </c>
      <c r="M86" s="115"/>
      <c r="N86" s="121"/>
    </row>
    <row r="87" spans="2:14" ht="39.950000000000003" customHeight="1" x14ac:dyDescent="0.25">
      <c r="B87" s="120">
        <v>83</v>
      </c>
      <c r="C87" s="115" t="s">
        <v>222</v>
      </c>
      <c r="D87" s="115" t="s">
        <v>223</v>
      </c>
      <c r="E87" s="115" t="s">
        <v>40</v>
      </c>
      <c r="F87" s="115" t="s">
        <v>41</v>
      </c>
      <c r="G87" s="115" t="s">
        <v>42</v>
      </c>
      <c r="H87" s="115" t="s">
        <v>43</v>
      </c>
      <c r="I87" s="115"/>
      <c r="J87" s="115" t="str">
        <f>tabell_anskaffelsens_innhold[[#This Row],[Kravsett 1]]&amp;" "&amp;tabell_anskaffelsens_innhold[[#This Row],[Kravsett 2]]&amp;" "&amp;tabell_anskaffelsens_innhold[[#This Row],[Kravsett 3]]&amp;" "&amp;tabell_anskaffelsens_innhold[[#This Row],[Kravsett 4]]</f>
        <v xml:space="preserve">Generelle Inj/inf  </v>
      </c>
      <c r="K87" s="115" t="s">
        <v>44</v>
      </c>
      <c r="L87" s="115" t="s">
        <v>45</v>
      </c>
      <c r="M87" s="115"/>
      <c r="N87" s="121"/>
    </row>
    <row r="88" spans="2:14" ht="39.950000000000003" customHeight="1" x14ac:dyDescent="0.25">
      <c r="B88" s="120">
        <v>84</v>
      </c>
      <c r="C88" s="115" t="s">
        <v>224</v>
      </c>
      <c r="D88" s="115" t="s">
        <v>225</v>
      </c>
      <c r="E88" s="115" t="s">
        <v>60</v>
      </c>
      <c r="F88" s="115" t="s">
        <v>41</v>
      </c>
      <c r="G88" s="115" t="s">
        <v>42</v>
      </c>
      <c r="H88" s="115" t="s">
        <v>43</v>
      </c>
      <c r="I88" s="115">
        <v>60</v>
      </c>
      <c r="J88" s="115" t="str">
        <f>tabell_anskaffelsens_innhold[[#This Row],[Kravsett 1]]&amp;" "&amp;tabell_anskaffelsens_innhold[[#This Row],[Kravsett 2]]&amp;" "&amp;tabell_anskaffelsens_innhold[[#This Row],[Kravsett 3]]&amp;" "&amp;tabell_anskaffelsens_innhold[[#This Row],[Kravsett 4]]</f>
        <v xml:space="preserve">Generelle Inj/inf  </v>
      </c>
      <c r="K88" s="115" t="s">
        <v>44</v>
      </c>
      <c r="L88" s="115" t="s">
        <v>45</v>
      </c>
      <c r="M88" s="115"/>
      <c r="N88" s="121"/>
    </row>
    <row r="89" spans="2:14" ht="39.950000000000003" customHeight="1" x14ac:dyDescent="0.25">
      <c r="B89" s="120">
        <v>85</v>
      </c>
      <c r="C89" s="115" t="s">
        <v>226</v>
      </c>
      <c r="D89" s="115" t="s">
        <v>227</v>
      </c>
      <c r="E89" s="115" t="s">
        <v>49</v>
      </c>
      <c r="F89" s="115" t="s">
        <v>41</v>
      </c>
      <c r="G89" s="115" t="s">
        <v>42</v>
      </c>
      <c r="H89" s="115" t="s">
        <v>43</v>
      </c>
      <c r="I89" s="115"/>
      <c r="J89" s="115" t="str">
        <f>tabell_anskaffelsens_innhold[[#This Row],[Kravsett 1]]&amp;" "&amp;tabell_anskaffelsens_innhold[[#This Row],[Kravsett 2]]&amp;" "&amp;tabell_anskaffelsens_innhold[[#This Row],[Kravsett 3]]&amp;" "&amp;tabell_anskaffelsens_innhold[[#This Row],[Kravsett 4]]</f>
        <v xml:space="preserve">Generelle Mikstur/dråper  </v>
      </c>
      <c r="K89" s="115" t="s">
        <v>44</v>
      </c>
      <c r="L89" s="115" t="s">
        <v>49</v>
      </c>
      <c r="M89" s="115"/>
      <c r="N89" s="121"/>
    </row>
    <row r="90" spans="2:14" ht="39.950000000000003" customHeight="1" x14ac:dyDescent="0.25">
      <c r="B90" s="120">
        <v>86</v>
      </c>
      <c r="C90" s="115" t="s">
        <v>228</v>
      </c>
      <c r="D90" s="115" t="s">
        <v>229</v>
      </c>
      <c r="E90" s="115" t="s">
        <v>55</v>
      </c>
      <c r="F90" s="115" t="s">
        <v>41</v>
      </c>
      <c r="G90" s="115" t="s">
        <v>106</v>
      </c>
      <c r="H90" s="115" t="s">
        <v>107</v>
      </c>
      <c r="I90" s="115"/>
      <c r="J90" s="115" t="str">
        <f>tabell_anskaffelsens_innhold[[#This Row],[Kravsett 1]]&amp;" "&amp;tabell_anskaffelsens_innhold[[#This Row],[Kravsett 2]]&amp;" "&amp;tabell_anskaffelsens_innhold[[#This Row],[Kravsett 3]]&amp;" "&amp;tabell_anskaffelsens_innhold[[#This Row],[Kravsett 4]]</f>
        <v xml:space="preserve">Generelle Tabletter/kapsler  </v>
      </c>
      <c r="K90" s="115" t="s">
        <v>44</v>
      </c>
      <c r="L90" s="115" t="s">
        <v>57</v>
      </c>
      <c r="M90" s="115"/>
      <c r="N90" s="121"/>
    </row>
    <row r="91" spans="2:14" ht="39.950000000000003" customHeight="1" x14ac:dyDescent="0.25">
      <c r="B91" s="120">
        <v>87</v>
      </c>
      <c r="C91" s="115" t="s">
        <v>230</v>
      </c>
      <c r="D91" s="115" t="s">
        <v>231</v>
      </c>
      <c r="E91" s="115" t="s">
        <v>40</v>
      </c>
      <c r="F91" s="115" t="s">
        <v>41</v>
      </c>
      <c r="G91" s="115" t="s">
        <v>42</v>
      </c>
      <c r="H91" s="115" t="s">
        <v>43</v>
      </c>
      <c r="I91" s="115"/>
      <c r="J91" s="115" t="str">
        <f>tabell_anskaffelsens_innhold[[#This Row],[Kravsett 1]]&amp;" "&amp;tabell_anskaffelsens_innhold[[#This Row],[Kravsett 2]]&amp;" "&amp;tabell_anskaffelsens_innhold[[#This Row],[Kravsett 3]]&amp;" "&amp;tabell_anskaffelsens_innhold[[#This Row],[Kravsett 4]]</f>
        <v xml:space="preserve">Generelle Inj/inf  </v>
      </c>
      <c r="K91" s="115" t="s">
        <v>44</v>
      </c>
      <c r="L91" s="115" t="s">
        <v>45</v>
      </c>
      <c r="M91" s="115"/>
      <c r="N91" s="121"/>
    </row>
    <row r="92" spans="2:14" ht="39.950000000000003" customHeight="1" x14ac:dyDescent="0.25">
      <c r="B92" s="120">
        <v>88</v>
      </c>
      <c r="C92" s="115" t="s">
        <v>230</v>
      </c>
      <c r="D92" s="115" t="s">
        <v>231</v>
      </c>
      <c r="E92" s="115" t="s">
        <v>55</v>
      </c>
      <c r="F92" s="115" t="s">
        <v>232</v>
      </c>
      <c r="G92" s="115" t="s">
        <v>42</v>
      </c>
      <c r="H92" s="115" t="s">
        <v>43</v>
      </c>
      <c r="I92" s="115"/>
      <c r="J92" s="115" t="str">
        <f>tabell_anskaffelsens_innhold[[#This Row],[Kravsett 1]]&amp;" "&amp;tabell_anskaffelsens_innhold[[#This Row],[Kravsett 2]]&amp;" "&amp;tabell_anskaffelsens_innhold[[#This Row],[Kravsett 3]]&amp;" "&amp;tabell_anskaffelsens_innhold[[#This Row],[Kravsett 4]]</f>
        <v xml:space="preserve">Generelle Tabletter/kapsler  </v>
      </c>
      <c r="K92" s="115" t="s">
        <v>44</v>
      </c>
      <c r="L92" s="115" t="s">
        <v>57</v>
      </c>
      <c r="M92" s="115"/>
      <c r="N92" s="121"/>
    </row>
    <row r="93" spans="2:14" ht="39.950000000000003" customHeight="1" x14ac:dyDescent="0.25">
      <c r="B93" s="120">
        <v>89</v>
      </c>
      <c r="C93" s="115" t="s">
        <v>233</v>
      </c>
      <c r="D93" s="115" t="s">
        <v>234</v>
      </c>
      <c r="E93" s="115" t="s">
        <v>55</v>
      </c>
      <c r="F93" s="115" t="s">
        <v>41</v>
      </c>
      <c r="G93" s="115" t="s">
        <v>106</v>
      </c>
      <c r="H93" s="115" t="s">
        <v>107</v>
      </c>
      <c r="I93" s="115"/>
      <c r="J93" s="115" t="str">
        <f>tabell_anskaffelsens_innhold[[#This Row],[Kravsett 1]]&amp;" "&amp;tabell_anskaffelsens_innhold[[#This Row],[Kravsett 2]]&amp;" "&amp;tabell_anskaffelsens_innhold[[#This Row],[Kravsett 3]]&amp;" "&amp;tabell_anskaffelsens_innhold[[#This Row],[Kravsett 4]]</f>
        <v xml:space="preserve">Generelle Tabletter/kapsler  </v>
      </c>
      <c r="K93" s="115" t="s">
        <v>44</v>
      </c>
      <c r="L93" s="115" t="s">
        <v>57</v>
      </c>
      <c r="M93" s="115"/>
      <c r="N93" s="121"/>
    </row>
    <row r="94" spans="2:14" ht="39.950000000000003" customHeight="1" x14ac:dyDescent="0.25">
      <c r="B94" s="120">
        <v>90</v>
      </c>
      <c r="C94" s="115" t="s">
        <v>235</v>
      </c>
      <c r="D94" s="115" t="s">
        <v>236</v>
      </c>
      <c r="E94" s="115" t="s">
        <v>40</v>
      </c>
      <c r="F94" s="115" t="s">
        <v>237</v>
      </c>
      <c r="G94" s="115" t="s">
        <v>42</v>
      </c>
      <c r="H94" s="115" t="s">
        <v>43</v>
      </c>
      <c r="I94" s="115"/>
      <c r="J94" s="115" t="str">
        <f>tabell_anskaffelsens_innhold[[#This Row],[Kravsett 1]]&amp;" "&amp;tabell_anskaffelsens_innhold[[#This Row],[Kravsett 2]]&amp;" "&amp;tabell_anskaffelsens_innhold[[#This Row],[Kravsett 3]]&amp;" "&amp;tabell_anskaffelsens_innhold[[#This Row],[Kravsett 4]]</f>
        <v xml:space="preserve">Generelle Inj/inf  </v>
      </c>
      <c r="K94" s="115" t="s">
        <v>44</v>
      </c>
      <c r="L94" s="115" t="s">
        <v>45</v>
      </c>
      <c r="M94" s="115"/>
      <c r="N94" s="121"/>
    </row>
    <row r="95" spans="2:14" ht="39.950000000000003" customHeight="1" x14ac:dyDescent="0.25">
      <c r="B95" s="120">
        <v>91</v>
      </c>
      <c r="C95" s="115" t="s">
        <v>238</v>
      </c>
      <c r="D95" s="115" t="s">
        <v>239</v>
      </c>
      <c r="E95" s="115" t="s">
        <v>55</v>
      </c>
      <c r="F95" s="115" t="s">
        <v>41</v>
      </c>
      <c r="G95" s="115" t="s">
        <v>106</v>
      </c>
      <c r="H95" s="115" t="s">
        <v>107</v>
      </c>
      <c r="I95" s="115"/>
      <c r="J95" s="115" t="str">
        <f>tabell_anskaffelsens_innhold[[#This Row],[Kravsett 1]]&amp;" "&amp;tabell_anskaffelsens_innhold[[#This Row],[Kravsett 2]]&amp;" "&amp;tabell_anskaffelsens_innhold[[#This Row],[Kravsett 3]]&amp;" "&amp;tabell_anskaffelsens_innhold[[#This Row],[Kravsett 4]]</f>
        <v xml:space="preserve">Generelle Tabletter/kapsler  </v>
      </c>
      <c r="K95" s="115" t="s">
        <v>44</v>
      </c>
      <c r="L95" s="115" t="s">
        <v>57</v>
      </c>
      <c r="M95" s="115"/>
      <c r="N95" s="121"/>
    </row>
    <row r="96" spans="2:14" ht="39.950000000000003" customHeight="1" x14ac:dyDescent="0.25">
      <c r="B96" s="120">
        <v>92</v>
      </c>
      <c r="C96" s="115" t="s">
        <v>238</v>
      </c>
      <c r="D96" s="115" t="s">
        <v>239</v>
      </c>
      <c r="E96" s="115" t="s">
        <v>55</v>
      </c>
      <c r="F96" s="115" t="s">
        <v>240</v>
      </c>
      <c r="G96" s="115" t="s">
        <v>106</v>
      </c>
      <c r="H96" s="115" t="s">
        <v>107</v>
      </c>
      <c r="I96" s="115"/>
      <c r="J96" s="115" t="str">
        <f>tabell_anskaffelsens_innhold[[#This Row],[Kravsett 1]]&amp;" "&amp;tabell_anskaffelsens_innhold[[#This Row],[Kravsett 2]]&amp;" "&amp;tabell_anskaffelsens_innhold[[#This Row],[Kravsett 3]]&amp;" "&amp;tabell_anskaffelsens_innhold[[#This Row],[Kravsett 4]]</f>
        <v xml:space="preserve">Generelle Tabletter/kapsler  </v>
      </c>
      <c r="K96" s="115" t="s">
        <v>44</v>
      </c>
      <c r="L96" s="115" t="s">
        <v>57</v>
      </c>
      <c r="M96" s="115"/>
      <c r="N96" s="121"/>
    </row>
    <row r="97" spans="2:14" ht="39.950000000000003" customHeight="1" x14ac:dyDescent="0.25">
      <c r="B97" s="120">
        <v>93</v>
      </c>
      <c r="C97" s="115" t="s">
        <v>241</v>
      </c>
      <c r="D97" s="115" t="s">
        <v>242</v>
      </c>
      <c r="E97" s="115" t="s">
        <v>49</v>
      </c>
      <c r="F97" s="115" t="s">
        <v>41</v>
      </c>
      <c r="G97" s="115" t="s">
        <v>42</v>
      </c>
      <c r="H97" s="115" t="s">
        <v>43</v>
      </c>
      <c r="I97" s="115"/>
      <c r="J97" s="115" t="str">
        <f>tabell_anskaffelsens_innhold[[#This Row],[Kravsett 1]]&amp;" "&amp;tabell_anskaffelsens_innhold[[#This Row],[Kravsett 2]]&amp;" "&amp;tabell_anskaffelsens_innhold[[#This Row],[Kravsett 3]]&amp;" "&amp;tabell_anskaffelsens_innhold[[#This Row],[Kravsett 4]]</f>
        <v xml:space="preserve">Generelle Mikstur/dråper  </v>
      </c>
      <c r="K97" s="115" t="s">
        <v>44</v>
      </c>
      <c r="L97" s="115" t="s">
        <v>49</v>
      </c>
      <c r="M97" s="115"/>
      <c r="N97" s="121"/>
    </row>
    <row r="98" spans="2:14" ht="39.950000000000003" customHeight="1" x14ac:dyDescent="0.25">
      <c r="B98" s="120">
        <v>94</v>
      </c>
      <c r="C98" s="115" t="s">
        <v>243</v>
      </c>
      <c r="D98" s="115" t="s">
        <v>244</v>
      </c>
      <c r="E98" s="115" t="s">
        <v>49</v>
      </c>
      <c r="F98" s="115" t="s">
        <v>245</v>
      </c>
      <c r="G98" s="115" t="s">
        <v>42</v>
      </c>
      <c r="H98" s="115" t="s">
        <v>43</v>
      </c>
      <c r="I98" s="115"/>
      <c r="J98" s="115" t="str">
        <f>tabell_anskaffelsens_innhold[[#This Row],[Kravsett 1]]&amp;" "&amp;tabell_anskaffelsens_innhold[[#This Row],[Kravsett 2]]&amp;" "&amp;tabell_anskaffelsens_innhold[[#This Row],[Kravsett 3]]&amp;" "&amp;tabell_anskaffelsens_innhold[[#This Row],[Kravsett 4]]</f>
        <v xml:space="preserve">Generelle Mikstur/dråper  </v>
      </c>
      <c r="K98" s="115" t="s">
        <v>44</v>
      </c>
      <c r="L98" s="115" t="s">
        <v>49</v>
      </c>
      <c r="M98" s="115"/>
      <c r="N98" s="121"/>
    </row>
    <row r="99" spans="2:14" ht="39.950000000000003" customHeight="1" x14ac:dyDescent="0.25">
      <c r="B99" s="120">
        <v>95</v>
      </c>
      <c r="C99" s="115" t="s">
        <v>243</v>
      </c>
      <c r="D99" s="115" t="s">
        <v>244</v>
      </c>
      <c r="E99" s="115" t="s">
        <v>202</v>
      </c>
      <c r="F99" s="115" t="s">
        <v>245</v>
      </c>
      <c r="G99" s="115" t="s">
        <v>42</v>
      </c>
      <c r="H99" s="115" t="s">
        <v>43</v>
      </c>
      <c r="I99" s="115"/>
      <c r="J99" s="115" t="str">
        <f>tabell_anskaffelsens_innhold[[#This Row],[Kravsett 1]]&amp;" "&amp;tabell_anskaffelsens_innhold[[#This Row],[Kravsett 2]]&amp;" "&amp;tabell_anskaffelsens_innhold[[#This Row],[Kravsett 3]]&amp;" "&amp;tabell_anskaffelsens_innhold[[#This Row],[Kravsett 4]]</f>
        <v xml:space="preserve">Generelle   </v>
      </c>
      <c r="K99" s="115" t="s">
        <v>44</v>
      </c>
      <c r="L99" s="115"/>
      <c r="M99" s="115"/>
      <c r="N99" s="121"/>
    </row>
    <row r="100" spans="2:14" ht="39.950000000000003" customHeight="1" x14ac:dyDescent="0.25">
      <c r="B100" s="120">
        <v>96</v>
      </c>
      <c r="C100" s="115" t="s">
        <v>243</v>
      </c>
      <c r="D100" s="115" t="s">
        <v>244</v>
      </c>
      <c r="E100" s="115" t="s">
        <v>55</v>
      </c>
      <c r="F100" s="115" t="s">
        <v>41</v>
      </c>
      <c r="G100" s="115" t="s">
        <v>42</v>
      </c>
      <c r="H100" s="115" t="s">
        <v>43</v>
      </c>
      <c r="I100" s="115"/>
      <c r="J100" s="115" t="str">
        <f>tabell_anskaffelsens_innhold[[#This Row],[Kravsett 1]]&amp;" "&amp;tabell_anskaffelsens_innhold[[#This Row],[Kravsett 2]]&amp;" "&amp;tabell_anskaffelsens_innhold[[#This Row],[Kravsett 3]]&amp;" "&amp;tabell_anskaffelsens_innhold[[#This Row],[Kravsett 4]]</f>
        <v xml:space="preserve">Generelle Tabletter/kapsler  </v>
      </c>
      <c r="K100" s="115" t="s">
        <v>44</v>
      </c>
      <c r="L100" s="115" t="s">
        <v>57</v>
      </c>
      <c r="M100" s="115"/>
      <c r="N100" s="121"/>
    </row>
    <row r="101" spans="2:14" ht="39.950000000000003" customHeight="1" x14ac:dyDescent="0.25">
      <c r="B101" s="120">
        <v>97</v>
      </c>
      <c r="C101" s="115" t="s">
        <v>246</v>
      </c>
      <c r="D101" s="115" t="s">
        <v>247</v>
      </c>
      <c r="E101" s="115" t="s">
        <v>55</v>
      </c>
      <c r="F101" s="115" t="s">
        <v>248</v>
      </c>
      <c r="G101" s="115" t="s">
        <v>106</v>
      </c>
      <c r="H101" s="115" t="s">
        <v>107</v>
      </c>
      <c r="I101" s="115"/>
      <c r="J101" s="115" t="str">
        <f>tabell_anskaffelsens_innhold[[#This Row],[Kravsett 1]]&amp;" "&amp;tabell_anskaffelsens_innhold[[#This Row],[Kravsett 2]]&amp;" "&amp;tabell_anskaffelsens_innhold[[#This Row],[Kravsett 3]]&amp;" "&amp;tabell_anskaffelsens_innhold[[#This Row],[Kravsett 4]]</f>
        <v xml:space="preserve">Generelle Tabletter/kapsler  </v>
      </c>
      <c r="K101" s="115" t="s">
        <v>44</v>
      </c>
      <c r="L101" s="115" t="s">
        <v>57</v>
      </c>
      <c r="M101" s="115"/>
      <c r="N101" s="121"/>
    </row>
    <row r="102" spans="2:14" ht="39.950000000000003" customHeight="1" x14ac:dyDescent="0.25">
      <c r="B102" s="120">
        <v>98</v>
      </c>
      <c r="C102" s="115" t="s">
        <v>249</v>
      </c>
      <c r="D102" s="115" t="s">
        <v>250</v>
      </c>
      <c r="E102" s="115" t="s">
        <v>49</v>
      </c>
      <c r="F102" s="115" t="s">
        <v>251</v>
      </c>
      <c r="G102" s="115" t="s">
        <v>42</v>
      </c>
      <c r="H102" s="115" t="s">
        <v>43</v>
      </c>
      <c r="I102" s="115"/>
      <c r="J102" s="115" t="str">
        <f>tabell_anskaffelsens_innhold[[#This Row],[Kravsett 1]]&amp;" "&amp;tabell_anskaffelsens_innhold[[#This Row],[Kravsett 2]]&amp;" "&amp;tabell_anskaffelsens_innhold[[#This Row],[Kravsett 3]]&amp;" "&amp;tabell_anskaffelsens_innhold[[#This Row],[Kravsett 4]]</f>
        <v xml:space="preserve">Generelle Mikstur/dråper  </v>
      </c>
      <c r="K102" s="115" t="s">
        <v>44</v>
      </c>
      <c r="L102" s="115" t="s">
        <v>49</v>
      </c>
      <c r="M102" s="115"/>
      <c r="N102" s="121"/>
    </row>
    <row r="103" spans="2:14" ht="39.950000000000003" customHeight="1" x14ac:dyDescent="0.25">
      <c r="B103" s="120">
        <v>99</v>
      </c>
      <c r="C103" s="115" t="s">
        <v>252</v>
      </c>
      <c r="D103" s="115" t="s">
        <v>253</v>
      </c>
      <c r="E103" s="115" t="s">
        <v>49</v>
      </c>
      <c r="F103" s="115"/>
      <c r="G103" s="115" t="s">
        <v>42</v>
      </c>
      <c r="H103" s="115" t="s">
        <v>43</v>
      </c>
      <c r="I103" s="115"/>
      <c r="J103" s="115" t="str">
        <f>tabell_anskaffelsens_innhold[[#This Row],[Kravsett 1]]&amp;" "&amp;tabell_anskaffelsens_innhold[[#This Row],[Kravsett 2]]&amp;" "&amp;tabell_anskaffelsens_innhold[[#This Row],[Kravsett 3]]&amp;" "&amp;tabell_anskaffelsens_innhold[[#This Row],[Kravsett 4]]</f>
        <v xml:space="preserve">Generelle Mikstur/dråper  </v>
      </c>
      <c r="K103" s="115" t="s">
        <v>44</v>
      </c>
      <c r="L103" s="115" t="s">
        <v>49</v>
      </c>
      <c r="M103" s="115"/>
      <c r="N103" s="121"/>
    </row>
    <row r="104" spans="2:14" ht="39.950000000000003" customHeight="1" x14ac:dyDescent="0.25">
      <c r="B104" s="120">
        <v>100</v>
      </c>
      <c r="C104" s="115" t="s">
        <v>254</v>
      </c>
      <c r="D104" s="115" t="s">
        <v>255</v>
      </c>
      <c r="E104" s="115" t="s">
        <v>55</v>
      </c>
      <c r="F104" s="115" t="s">
        <v>41</v>
      </c>
      <c r="G104" s="115" t="s">
        <v>42</v>
      </c>
      <c r="H104" s="115" t="s">
        <v>43</v>
      </c>
      <c r="I104" s="115"/>
      <c r="J104" s="115" t="str">
        <f>tabell_anskaffelsens_innhold[[#This Row],[Kravsett 1]]&amp;" "&amp;tabell_anskaffelsens_innhold[[#This Row],[Kravsett 2]]&amp;" "&amp;tabell_anskaffelsens_innhold[[#This Row],[Kravsett 3]]&amp;" "&amp;tabell_anskaffelsens_innhold[[#This Row],[Kravsett 4]]</f>
        <v xml:space="preserve">Generelle Tabletter/kapsler  </v>
      </c>
      <c r="K104" s="115" t="s">
        <v>44</v>
      </c>
      <c r="L104" s="115" t="s">
        <v>57</v>
      </c>
      <c r="M104" s="115"/>
      <c r="N104" s="121"/>
    </row>
    <row r="105" spans="2:14" ht="39.950000000000003" customHeight="1" x14ac:dyDescent="0.25">
      <c r="B105" s="120">
        <v>101</v>
      </c>
      <c r="C105" s="115" t="s">
        <v>256</v>
      </c>
      <c r="D105" s="115" t="s">
        <v>257</v>
      </c>
      <c r="E105" s="115" t="s">
        <v>55</v>
      </c>
      <c r="F105" s="115" t="s">
        <v>41</v>
      </c>
      <c r="G105" s="115" t="s">
        <v>42</v>
      </c>
      <c r="H105" s="115" t="s">
        <v>43</v>
      </c>
      <c r="I105" s="115"/>
      <c r="J105" s="115" t="str">
        <f>tabell_anskaffelsens_innhold[[#This Row],[Kravsett 1]]&amp;" "&amp;tabell_anskaffelsens_innhold[[#This Row],[Kravsett 2]]&amp;" "&amp;tabell_anskaffelsens_innhold[[#This Row],[Kravsett 3]]&amp;" "&amp;tabell_anskaffelsens_innhold[[#This Row],[Kravsett 4]]</f>
        <v xml:space="preserve">Generelle Tabletter/kapsler  </v>
      </c>
      <c r="K105" s="115" t="s">
        <v>44</v>
      </c>
      <c r="L105" s="115" t="s">
        <v>57</v>
      </c>
      <c r="M105" s="115"/>
      <c r="N105" s="121"/>
    </row>
    <row r="106" spans="2:14" ht="39.950000000000003" customHeight="1" x14ac:dyDescent="0.25">
      <c r="B106" s="120">
        <v>102</v>
      </c>
      <c r="C106" s="115" t="s">
        <v>258</v>
      </c>
      <c r="D106" s="115" t="s">
        <v>259</v>
      </c>
      <c r="E106" s="115" t="s">
        <v>55</v>
      </c>
      <c r="F106" s="115" t="s">
        <v>41</v>
      </c>
      <c r="G106" s="115" t="s">
        <v>42</v>
      </c>
      <c r="H106" s="115" t="s">
        <v>43</v>
      </c>
      <c r="I106" s="115"/>
      <c r="J106" s="115" t="str">
        <f>tabell_anskaffelsens_innhold[[#This Row],[Kravsett 1]]&amp;" "&amp;tabell_anskaffelsens_innhold[[#This Row],[Kravsett 2]]&amp;" "&amp;tabell_anskaffelsens_innhold[[#This Row],[Kravsett 3]]&amp;" "&amp;tabell_anskaffelsens_innhold[[#This Row],[Kravsett 4]]</f>
        <v xml:space="preserve">Generelle Tabletter/kapsler  </v>
      </c>
      <c r="K106" s="115" t="s">
        <v>44</v>
      </c>
      <c r="L106" s="115" t="s">
        <v>57</v>
      </c>
      <c r="M106" s="115"/>
      <c r="N106" s="121"/>
    </row>
    <row r="107" spans="2:14" ht="39.950000000000003" customHeight="1" x14ac:dyDescent="0.25">
      <c r="B107" s="120">
        <v>103</v>
      </c>
      <c r="C107" s="115" t="s">
        <v>260</v>
      </c>
      <c r="D107" s="115" t="s">
        <v>261</v>
      </c>
      <c r="E107" s="115" t="s">
        <v>85</v>
      </c>
      <c r="F107" s="115" t="s">
        <v>41</v>
      </c>
      <c r="G107" s="115" t="s">
        <v>42</v>
      </c>
      <c r="H107" s="115" t="s">
        <v>43</v>
      </c>
      <c r="I107" s="115"/>
      <c r="J107" s="115" t="str">
        <f>tabell_anskaffelsens_innhold[[#This Row],[Kravsett 1]]&amp;" "&amp;tabell_anskaffelsens_innhold[[#This Row],[Kravsett 2]]&amp;" "&amp;tabell_anskaffelsens_innhold[[#This Row],[Kravsett 3]]&amp;" "&amp;tabell_anskaffelsens_innhold[[#This Row],[Kravsett 4]]</f>
        <v xml:space="preserve">Generelle Tørrstoff  </v>
      </c>
      <c r="K107" s="115" t="s">
        <v>44</v>
      </c>
      <c r="L107" s="115" t="s">
        <v>85</v>
      </c>
      <c r="M107" s="115"/>
      <c r="N107" s="121"/>
    </row>
    <row r="108" spans="2:14" ht="39.950000000000003" customHeight="1" x14ac:dyDescent="0.25">
      <c r="B108" s="120">
        <v>104</v>
      </c>
      <c r="C108" s="115" t="s">
        <v>262</v>
      </c>
      <c r="D108" s="115" t="s">
        <v>263</v>
      </c>
      <c r="E108" s="115" t="s">
        <v>220</v>
      </c>
      <c r="F108" s="115" t="s">
        <v>41</v>
      </c>
      <c r="G108" s="115" t="s">
        <v>42</v>
      </c>
      <c r="H108" s="115" t="s">
        <v>43</v>
      </c>
      <c r="I108" s="115"/>
      <c r="J108" s="115" t="str">
        <f>tabell_anskaffelsens_innhold[[#This Row],[Kravsett 1]]&amp;" "&amp;tabell_anskaffelsens_innhold[[#This Row],[Kravsett 2]]&amp;" "&amp;tabell_anskaffelsens_innhold[[#This Row],[Kravsett 3]]&amp;" "&amp;tabell_anskaffelsens_innhold[[#This Row],[Kravsett 4]]</f>
        <v xml:space="preserve">Generelle   </v>
      </c>
      <c r="K108" s="115" t="s">
        <v>44</v>
      </c>
      <c r="L108" s="115"/>
      <c r="M108" s="115"/>
      <c r="N108" s="121"/>
    </row>
    <row r="109" spans="2:14" ht="39.950000000000003" customHeight="1" x14ac:dyDescent="0.25">
      <c r="B109" s="120">
        <v>105</v>
      </c>
      <c r="C109" s="115" t="s">
        <v>262</v>
      </c>
      <c r="D109" s="115" t="s">
        <v>263</v>
      </c>
      <c r="E109" s="115" t="s">
        <v>85</v>
      </c>
      <c r="F109" s="115" t="s">
        <v>41</v>
      </c>
      <c r="G109" s="115" t="s">
        <v>42</v>
      </c>
      <c r="H109" s="115" t="s">
        <v>43</v>
      </c>
      <c r="I109" s="115"/>
      <c r="J109" s="115" t="str">
        <f>tabell_anskaffelsens_innhold[[#This Row],[Kravsett 1]]&amp;" "&amp;tabell_anskaffelsens_innhold[[#This Row],[Kravsett 2]]&amp;" "&amp;tabell_anskaffelsens_innhold[[#This Row],[Kravsett 3]]&amp;" "&amp;tabell_anskaffelsens_innhold[[#This Row],[Kravsett 4]]</f>
        <v xml:space="preserve">Generelle Tørrstoff  </v>
      </c>
      <c r="K109" s="115" t="s">
        <v>44</v>
      </c>
      <c r="L109" s="115" t="s">
        <v>85</v>
      </c>
      <c r="M109" s="115"/>
      <c r="N109" s="121"/>
    </row>
    <row r="110" spans="2:14" ht="39.950000000000003" customHeight="1" x14ac:dyDescent="0.25">
      <c r="B110" s="120">
        <v>106</v>
      </c>
      <c r="C110" s="115" t="s">
        <v>264</v>
      </c>
      <c r="D110" s="115" t="s">
        <v>265</v>
      </c>
      <c r="E110" s="115" t="s">
        <v>55</v>
      </c>
      <c r="F110" s="115" t="s">
        <v>41</v>
      </c>
      <c r="G110" s="115" t="s">
        <v>42</v>
      </c>
      <c r="H110" s="115" t="s">
        <v>43</v>
      </c>
      <c r="I110" s="115"/>
      <c r="J110" s="115" t="str">
        <f>tabell_anskaffelsens_innhold[[#This Row],[Kravsett 1]]&amp;" "&amp;tabell_anskaffelsens_innhold[[#This Row],[Kravsett 2]]&amp;" "&amp;tabell_anskaffelsens_innhold[[#This Row],[Kravsett 3]]&amp;" "&amp;tabell_anskaffelsens_innhold[[#This Row],[Kravsett 4]]</f>
        <v xml:space="preserve">Generelle Tabletter/kapsler  </v>
      </c>
      <c r="K110" s="115" t="s">
        <v>44</v>
      </c>
      <c r="L110" s="115" t="s">
        <v>57</v>
      </c>
      <c r="M110" s="115"/>
      <c r="N110" s="121"/>
    </row>
    <row r="111" spans="2:14" ht="39.950000000000003" customHeight="1" x14ac:dyDescent="0.25">
      <c r="B111" s="120">
        <v>107</v>
      </c>
      <c r="C111" s="115" t="s">
        <v>266</v>
      </c>
      <c r="D111" s="115" t="s">
        <v>267</v>
      </c>
      <c r="E111" s="115" t="s">
        <v>55</v>
      </c>
      <c r="F111" s="115" t="s">
        <v>41</v>
      </c>
      <c r="G111" s="115" t="s">
        <v>42</v>
      </c>
      <c r="H111" s="115" t="s">
        <v>43</v>
      </c>
      <c r="I111" s="115"/>
      <c r="J111" s="115" t="str">
        <f>tabell_anskaffelsens_innhold[[#This Row],[Kravsett 1]]&amp;" "&amp;tabell_anskaffelsens_innhold[[#This Row],[Kravsett 2]]&amp;" "&amp;tabell_anskaffelsens_innhold[[#This Row],[Kravsett 3]]&amp;" "&amp;tabell_anskaffelsens_innhold[[#This Row],[Kravsett 4]]</f>
        <v xml:space="preserve">Generelle Tabletter/kapsler  </v>
      </c>
      <c r="K111" s="115" t="s">
        <v>44</v>
      </c>
      <c r="L111" s="115" t="s">
        <v>57</v>
      </c>
      <c r="M111" s="115"/>
      <c r="N111" s="121"/>
    </row>
    <row r="112" spans="2:14" ht="39.950000000000003" customHeight="1" x14ac:dyDescent="0.25">
      <c r="B112" s="120">
        <v>108</v>
      </c>
      <c r="C112" s="115" t="s">
        <v>268</v>
      </c>
      <c r="D112" s="115" t="s">
        <v>269</v>
      </c>
      <c r="E112" s="115" t="s">
        <v>270</v>
      </c>
      <c r="F112" s="115" t="s">
        <v>41</v>
      </c>
      <c r="G112" s="115" t="s">
        <v>42</v>
      </c>
      <c r="H112" s="115" t="s">
        <v>43</v>
      </c>
      <c r="I112" s="115">
        <v>30</v>
      </c>
      <c r="J112" s="115" t="str">
        <f>tabell_anskaffelsens_innhold[[#This Row],[Kravsett 1]]&amp;" "&amp;tabell_anskaffelsens_innhold[[#This Row],[Kravsett 2]]&amp;" "&amp;tabell_anskaffelsens_innhold[[#This Row],[Kravsett 3]]&amp;" "&amp;tabell_anskaffelsens_innhold[[#This Row],[Kravsett 4]]</f>
        <v xml:space="preserve">Generelle   </v>
      </c>
      <c r="K112" s="115" t="s">
        <v>44</v>
      </c>
      <c r="L112" s="115"/>
      <c r="M112" s="115"/>
      <c r="N112" s="121"/>
    </row>
    <row r="113" spans="2:14" ht="39.950000000000003" customHeight="1" x14ac:dyDescent="0.25">
      <c r="B113" s="120">
        <v>109</v>
      </c>
      <c r="C113" s="115" t="s">
        <v>271</v>
      </c>
      <c r="D113" s="115" t="s">
        <v>272</v>
      </c>
      <c r="E113" s="115" t="s">
        <v>220</v>
      </c>
      <c r="F113" s="115" t="s">
        <v>41</v>
      </c>
      <c r="G113" s="115" t="s">
        <v>42</v>
      </c>
      <c r="H113" s="115" t="s">
        <v>43</v>
      </c>
      <c r="I113" s="115"/>
      <c r="J113" s="115" t="str">
        <f>tabell_anskaffelsens_innhold[[#This Row],[Kravsett 1]]&amp;" "&amp;tabell_anskaffelsens_innhold[[#This Row],[Kravsett 2]]&amp;" "&amp;tabell_anskaffelsens_innhold[[#This Row],[Kravsett 3]]&amp;" "&amp;tabell_anskaffelsens_innhold[[#This Row],[Kravsett 4]]</f>
        <v xml:space="preserve">Generelle   </v>
      </c>
      <c r="K113" s="115" t="s">
        <v>44</v>
      </c>
      <c r="L113" s="115"/>
      <c r="M113" s="115"/>
      <c r="N113" s="121"/>
    </row>
    <row r="114" spans="2:14" ht="39.950000000000003" customHeight="1" x14ac:dyDescent="0.25">
      <c r="B114" s="120">
        <v>110</v>
      </c>
      <c r="C114" s="115" t="s">
        <v>273</v>
      </c>
      <c r="D114" s="115" t="s">
        <v>274</v>
      </c>
      <c r="E114" s="115" t="s">
        <v>40</v>
      </c>
      <c r="F114" s="115" t="s">
        <v>41</v>
      </c>
      <c r="G114" s="115" t="s">
        <v>42</v>
      </c>
      <c r="H114" s="115" t="s">
        <v>43</v>
      </c>
      <c r="I114" s="115">
        <v>30</v>
      </c>
      <c r="J114" s="115" t="str">
        <f>tabell_anskaffelsens_innhold[[#This Row],[Kravsett 1]]&amp;" "&amp;tabell_anskaffelsens_innhold[[#This Row],[Kravsett 2]]&amp;" "&amp;tabell_anskaffelsens_innhold[[#This Row],[Kravsett 3]]&amp;" "&amp;tabell_anskaffelsens_innhold[[#This Row],[Kravsett 4]]</f>
        <v xml:space="preserve">Generelle Inj/inf  </v>
      </c>
      <c r="K114" s="115" t="s">
        <v>44</v>
      </c>
      <c r="L114" s="115" t="s">
        <v>45</v>
      </c>
      <c r="M114" s="115"/>
      <c r="N114" s="121"/>
    </row>
    <row r="115" spans="2:14" ht="39.950000000000003" customHeight="1" x14ac:dyDescent="0.25">
      <c r="B115" s="120">
        <v>111</v>
      </c>
      <c r="C115" s="115" t="s">
        <v>273</v>
      </c>
      <c r="D115" s="115" t="s">
        <v>274</v>
      </c>
      <c r="E115" s="115" t="s">
        <v>55</v>
      </c>
      <c r="F115" s="115" t="s">
        <v>41</v>
      </c>
      <c r="G115" s="115" t="s">
        <v>42</v>
      </c>
      <c r="H115" s="115" t="s">
        <v>43</v>
      </c>
      <c r="I115" s="115"/>
      <c r="J115" s="115" t="str">
        <f>tabell_anskaffelsens_innhold[[#This Row],[Kravsett 1]]&amp;" "&amp;tabell_anskaffelsens_innhold[[#This Row],[Kravsett 2]]&amp;" "&amp;tabell_anskaffelsens_innhold[[#This Row],[Kravsett 3]]&amp;" "&amp;tabell_anskaffelsens_innhold[[#This Row],[Kravsett 4]]</f>
        <v xml:space="preserve">Generelle Tabletter/kapsler  </v>
      </c>
      <c r="K115" s="115" t="s">
        <v>44</v>
      </c>
      <c r="L115" s="115" t="s">
        <v>57</v>
      </c>
      <c r="M115" s="115"/>
      <c r="N115" s="121"/>
    </row>
    <row r="116" spans="2:14" ht="39.950000000000003" customHeight="1" x14ac:dyDescent="0.25">
      <c r="B116" s="120">
        <v>112</v>
      </c>
      <c r="C116" s="115" t="s">
        <v>275</v>
      </c>
      <c r="D116" s="115" t="s">
        <v>276</v>
      </c>
      <c r="E116" s="115" t="s">
        <v>40</v>
      </c>
      <c r="F116" s="115" t="s">
        <v>41</v>
      </c>
      <c r="G116" s="115" t="s">
        <v>42</v>
      </c>
      <c r="H116" s="115" t="s">
        <v>43</v>
      </c>
      <c r="I116" s="115"/>
      <c r="J116" s="115" t="str">
        <f>tabell_anskaffelsens_innhold[[#This Row],[Kravsett 1]]&amp;" "&amp;tabell_anskaffelsens_innhold[[#This Row],[Kravsett 2]]&amp;" "&amp;tabell_anskaffelsens_innhold[[#This Row],[Kravsett 3]]&amp;" "&amp;tabell_anskaffelsens_innhold[[#This Row],[Kravsett 4]]</f>
        <v xml:space="preserve">Generelle Inj/inf  </v>
      </c>
      <c r="K116" s="115" t="s">
        <v>44</v>
      </c>
      <c r="L116" s="115" t="s">
        <v>45</v>
      </c>
      <c r="M116" s="115"/>
      <c r="N116" s="121"/>
    </row>
    <row r="117" spans="2:14" ht="39.950000000000003" customHeight="1" x14ac:dyDescent="0.25">
      <c r="B117" s="120">
        <v>113</v>
      </c>
      <c r="C117" s="115" t="s">
        <v>277</v>
      </c>
      <c r="D117" s="115" t="s">
        <v>278</v>
      </c>
      <c r="E117" s="115" t="s">
        <v>40</v>
      </c>
      <c r="F117" s="115" t="s">
        <v>41</v>
      </c>
      <c r="G117" s="115" t="s">
        <v>42</v>
      </c>
      <c r="H117" s="115" t="s">
        <v>43</v>
      </c>
      <c r="I117" s="115"/>
      <c r="J117" s="115" t="str">
        <f>tabell_anskaffelsens_innhold[[#This Row],[Kravsett 1]]&amp;" "&amp;tabell_anskaffelsens_innhold[[#This Row],[Kravsett 2]]&amp;" "&amp;tabell_anskaffelsens_innhold[[#This Row],[Kravsett 3]]&amp;" "&amp;tabell_anskaffelsens_innhold[[#This Row],[Kravsett 4]]</f>
        <v xml:space="preserve">Generelle Inj/inf  </v>
      </c>
      <c r="K117" s="115" t="s">
        <v>44</v>
      </c>
      <c r="L117" s="115" t="s">
        <v>45</v>
      </c>
      <c r="M117" s="115"/>
      <c r="N117" s="121"/>
    </row>
    <row r="118" spans="2:14" ht="39.950000000000003" customHeight="1" x14ac:dyDescent="0.25">
      <c r="B118" s="120">
        <v>114</v>
      </c>
      <c r="C118" s="115" t="s">
        <v>279</v>
      </c>
      <c r="D118" s="115" t="s">
        <v>120</v>
      </c>
      <c r="E118" s="115" t="s">
        <v>280</v>
      </c>
      <c r="F118" s="115" t="s">
        <v>281</v>
      </c>
      <c r="G118" s="115" t="s">
        <v>42</v>
      </c>
      <c r="H118" s="115" t="s">
        <v>43</v>
      </c>
      <c r="I118" s="115"/>
      <c r="J118" s="115" t="str">
        <f>tabell_anskaffelsens_innhold[[#This Row],[Kravsett 1]]&amp;" "&amp;tabell_anskaffelsens_innhold[[#This Row],[Kravsett 2]]&amp;" "&amp;tabell_anskaffelsens_innhold[[#This Row],[Kravsett 3]]&amp;" "&amp;tabell_anskaffelsens_innhold[[#This Row],[Kravsett 4]]</f>
        <v xml:space="preserve">Generelle Okulær  </v>
      </c>
      <c r="K118" s="115" t="s">
        <v>44</v>
      </c>
      <c r="L118" s="115" t="s">
        <v>280</v>
      </c>
      <c r="M118" s="115"/>
      <c r="N118" s="121"/>
    </row>
    <row r="119" spans="2:14" ht="39.950000000000003" customHeight="1" x14ac:dyDescent="0.25">
      <c r="B119" s="120">
        <v>115</v>
      </c>
      <c r="C119" s="115" t="s">
        <v>279</v>
      </c>
      <c r="D119" s="115" t="s">
        <v>120</v>
      </c>
      <c r="E119" s="115" t="s">
        <v>114</v>
      </c>
      <c r="F119" s="115" t="s">
        <v>282</v>
      </c>
      <c r="G119" s="115" t="s">
        <v>42</v>
      </c>
      <c r="H119" s="115" t="s">
        <v>43</v>
      </c>
      <c r="I119" s="115"/>
      <c r="J119" s="115" t="str">
        <f>tabell_anskaffelsens_innhold[[#This Row],[Kravsett 1]]&amp;" "&amp;tabell_anskaffelsens_innhold[[#This Row],[Kravsett 2]]&amp;" "&amp;tabell_anskaffelsens_innhold[[#This Row],[Kravsett 3]]&amp;" "&amp;tabell_anskaffelsens_innhold[[#This Row],[Kravsett 4]]</f>
        <v xml:space="preserve">Generelle   </v>
      </c>
      <c r="K119" s="115" t="s">
        <v>44</v>
      </c>
      <c r="L119" s="115"/>
      <c r="M119" s="115"/>
      <c r="N119" s="121"/>
    </row>
    <row r="120" spans="2:14" ht="39.950000000000003" customHeight="1" x14ac:dyDescent="0.25">
      <c r="B120" s="120">
        <v>116</v>
      </c>
      <c r="C120" s="115" t="s">
        <v>283</v>
      </c>
      <c r="D120" s="115" t="s">
        <v>284</v>
      </c>
      <c r="E120" s="115" t="s">
        <v>280</v>
      </c>
      <c r="F120" s="115" t="s">
        <v>285</v>
      </c>
      <c r="G120" s="115" t="s">
        <v>42</v>
      </c>
      <c r="H120" s="115" t="s">
        <v>43</v>
      </c>
      <c r="I120" s="115"/>
      <c r="J120" s="115" t="str">
        <f>tabell_anskaffelsens_innhold[[#This Row],[Kravsett 1]]&amp;" "&amp;tabell_anskaffelsens_innhold[[#This Row],[Kravsett 2]]&amp;" "&amp;tabell_anskaffelsens_innhold[[#This Row],[Kravsett 3]]&amp;" "&amp;tabell_anskaffelsens_innhold[[#This Row],[Kravsett 4]]</f>
        <v xml:space="preserve">Generelle Okulær Okulær, endoser </v>
      </c>
      <c r="K120" s="115" t="s">
        <v>44</v>
      </c>
      <c r="L120" s="115" t="s">
        <v>280</v>
      </c>
      <c r="M120" s="115" t="s">
        <v>286</v>
      </c>
      <c r="N120" s="121"/>
    </row>
    <row r="121" spans="2:14" ht="39.950000000000003" customHeight="1" x14ac:dyDescent="0.25">
      <c r="B121" s="120">
        <v>117</v>
      </c>
      <c r="C121" s="115" t="s">
        <v>287</v>
      </c>
      <c r="D121" s="115" t="s">
        <v>288</v>
      </c>
      <c r="E121" s="115" t="s">
        <v>165</v>
      </c>
      <c r="F121" s="115" t="s">
        <v>289</v>
      </c>
      <c r="G121" s="115" t="s">
        <v>42</v>
      </c>
      <c r="H121" s="115" t="s">
        <v>43</v>
      </c>
      <c r="I121" s="115">
        <v>30</v>
      </c>
      <c r="J121" s="115" t="str">
        <f>tabell_anskaffelsens_innhold[[#This Row],[Kravsett 1]]&amp;" "&amp;tabell_anskaffelsens_innhold[[#This Row],[Kravsett 2]]&amp;" "&amp;tabell_anskaffelsens_innhold[[#This Row],[Kravsett 3]]&amp;" "&amp;tabell_anskaffelsens_innhold[[#This Row],[Kravsett 4]]</f>
        <v xml:space="preserve">Generelle   </v>
      </c>
      <c r="K121" s="115" t="s">
        <v>44</v>
      </c>
      <c r="L121" s="115"/>
      <c r="M121" s="115"/>
      <c r="N121" s="121"/>
    </row>
    <row r="122" spans="2:14" ht="39.950000000000003" customHeight="1" x14ac:dyDescent="0.25">
      <c r="B122" s="120">
        <v>118</v>
      </c>
      <c r="C122" s="115" t="s">
        <v>290</v>
      </c>
      <c r="D122" s="115" t="s">
        <v>291</v>
      </c>
      <c r="E122" s="115" t="s">
        <v>85</v>
      </c>
      <c r="F122" s="115" t="s">
        <v>41</v>
      </c>
      <c r="G122" s="115" t="s">
        <v>42</v>
      </c>
      <c r="H122" s="115" t="s">
        <v>43</v>
      </c>
      <c r="I122" s="115"/>
      <c r="J122" s="115" t="str">
        <f>tabell_anskaffelsens_innhold[[#This Row],[Kravsett 1]]&amp;" "&amp;tabell_anskaffelsens_innhold[[#This Row],[Kravsett 2]]&amp;" "&amp;tabell_anskaffelsens_innhold[[#This Row],[Kravsett 3]]&amp;" "&amp;tabell_anskaffelsens_innhold[[#This Row],[Kravsett 4]]</f>
        <v xml:space="preserve">Generelle Tørrstoff  </v>
      </c>
      <c r="K122" s="115" t="s">
        <v>44</v>
      </c>
      <c r="L122" s="115" t="s">
        <v>85</v>
      </c>
      <c r="M122" s="115"/>
      <c r="N122" s="121"/>
    </row>
    <row r="123" spans="2:14" ht="39.950000000000003" customHeight="1" x14ac:dyDescent="0.25">
      <c r="B123" s="120">
        <v>119</v>
      </c>
      <c r="C123" s="115" t="s">
        <v>292</v>
      </c>
      <c r="D123" s="115" t="s">
        <v>293</v>
      </c>
      <c r="E123" s="115" t="s">
        <v>55</v>
      </c>
      <c r="F123" s="115" t="s">
        <v>41</v>
      </c>
      <c r="G123" s="115" t="s">
        <v>42</v>
      </c>
      <c r="H123" s="115" t="s">
        <v>43</v>
      </c>
      <c r="I123" s="115"/>
      <c r="J123" s="115" t="str">
        <f>tabell_anskaffelsens_innhold[[#This Row],[Kravsett 1]]&amp;" "&amp;tabell_anskaffelsens_innhold[[#This Row],[Kravsett 2]]&amp;" "&amp;tabell_anskaffelsens_innhold[[#This Row],[Kravsett 3]]&amp;" "&amp;tabell_anskaffelsens_innhold[[#This Row],[Kravsett 4]]</f>
        <v xml:space="preserve">Generelle Tabletter/kapsler  </v>
      </c>
      <c r="K123" s="115" t="s">
        <v>44</v>
      </c>
      <c r="L123" s="115" t="s">
        <v>57</v>
      </c>
      <c r="M123" s="115"/>
      <c r="N123" s="121"/>
    </row>
    <row r="124" spans="2:14" ht="39.950000000000003" customHeight="1" x14ac:dyDescent="0.25">
      <c r="B124" s="120">
        <v>120</v>
      </c>
      <c r="C124" s="115" t="s">
        <v>294</v>
      </c>
      <c r="D124" s="115" t="s">
        <v>295</v>
      </c>
      <c r="E124" s="115" t="s">
        <v>280</v>
      </c>
      <c r="F124" s="115" t="s">
        <v>41</v>
      </c>
      <c r="G124" s="115" t="s">
        <v>42</v>
      </c>
      <c r="H124" s="115" t="s">
        <v>43</v>
      </c>
      <c r="I124" s="115"/>
      <c r="J124" s="115" t="str">
        <f>tabell_anskaffelsens_innhold[[#This Row],[Kravsett 1]]&amp;" "&amp;tabell_anskaffelsens_innhold[[#This Row],[Kravsett 2]]&amp;" "&amp;tabell_anskaffelsens_innhold[[#This Row],[Kravsett 3]]&amp;" "&amp;tabell_anskaffelsens_innhold[[#This Row],[Kravsett 4]]</f>
        <v xml:space="preserve">Generelle Okulær  </v>
      </c>
      <c r="K124" s="115" t="s">
        <v>44</v>
      </c>
      <c r="L124" s="115" t="s">
        <v>280</v>
      </c>
      <c r="M124" s="115"/>
      <c r="N124" s="121"/>
    </row>
    <row r="125" spans="2:14" ht="39.950000000000003" customHeight="1" x14ac:dyDescent="0.25">
      <c r="B125" s="120">
        <v>121</v>
      </c>
      <c r="C125" s="115" t="s">
        <v>296</v>
      </c>
      <c r="D125" s="115" t="s">
        <v>297</v>
      </c>
      <c r="E125" s="115" t="s">
        <v>280</v>
      </c>
      <c r="F125" s="115" t="s">
        <v>285</v>
      </c>
      <c r="G125" s="115" t="s">
        <v>42</v>
      </c>
      <c r="H125" s="115" t="s">
        <v>43</v>
      </c>
      <c r="I125" s="115"/>
      <c r="J125" s="115" t="str">
        <f>tabell_anskaffelsens_innhold[[#This Row],[Kravsett 1]]&amp;" "&amp;tabell_anskaffelsens_innhold[[#This Row],[Kravsett 2]]&amp;" "&amp;tabell_anskaffelsens_innhold[[#This Row],[Kravsett 3]]&amp;" "&amp;tabell_anskaffelsens_innhold[[#This Row],[Kravsett 4]]</f>
        <v xml:space="preserve">Generelle Okulær Okulær, endoser </v>
      </c>
      <c r="K125" s="115" t="s">
        <v>44</v>
      </c>
      <c r="L125" s="115" t="s">
        <v>280</v>
      </c>
      <c r="M125" s="115" t="s">
        <v>286</v>
      </c>
      <c r="N125" s="121"/>
    </row>
    <row r="126" spans="2:14" ht="39.950000000000003" customHeight="1" x14ac:dyDescent="0.25">
      <c r="B126" s="120">
        <v>122</v>
      </c>
      <c r="C126" s="115" t="s">
        <v>298</v>
      </c>
      <c r="D126" s="115" t="s">
        <v>299</v>
      </c>
      <c r="E126" s="115" t="s">
        <v>280</v>
      </c>
      <c r="F126" s="115" t="s">
        <v>285</v>
      </c>
      <c r="G126" s="115" t="s">
        <v>42</v>
      </c>
      <c r="H126" s="115" t="s">
        <v>43</v>
      </c>
      <c r="I126" s="115">
        <v>30</v>
      </c>
      <c r="J126" s="115" t="str">
        <f>tabell_anskaffelsens_innhold[[#This Row],[Kravsett 1]]&amp;" "&amp;tabell_anskaffelsens_innhold[[#This Row],[Kravsett 2]]&amp;" "&amp;tabell_anskaffelsens_innhold[[#This Row],[Kravsett 3]]&amp;" "&amp;tabell_anskaffelsens_innhold[[#This Row],[Kravsett 4]]</f>
        <v xml:space="preserve">Generelle Okulær Okulær, endoser </v>
      </c>
      <c r="K126" s="115" t="s">
        <v>44</v>
      </c>
      <c r="L126" s="115" t="s">
        <v>280</v>
      </c>
      <c r="M126" s="115" t="s">
        <v>286</v>
      </c>
      <c r="N126" s="121"/>
    </row>
    <row r="127" spans="2:14" ht="39.950000000000003" customHeight="1" x14ac:dyDescent="0.25">
      <c r="B127" s="120">
        <v>123</v>
      </c>
      <c r="C127" s="115" t="s">
        <v>300</v>
      </c>
      <c r="D127" s="115" t="s">
        <v>301</v>
      </c>
      <c r="E127" s="115" t="s">
        <v>280</v>
      </c>
      <c r="F127" s="115" t="s">
        <v>281</v>
      </c>
      <c r="G127" s="115" t="s">
        <v>42</v>
      </c>
      <c r="H127" s="115" t="s">
        <v>43</v>
      </c>
      <c r="I127" s="115"/>
      <c r="J127" s="115" t="str">
        <f>tabell_anskaffelsens_innhold[[#This Row],[Kravsett 1]]&amp;" "&amp;tabell_anskaffelsens_innhold[[#This Row],[Kravsett 2]]&amp;" "&amp;tabell_anskaffelsens_innhold[[#This Row],[Kravsett 3]]&amp;" "&amp;tabell_anskaffelsens_innhold[[#This Row],[Kravsett 4]]</f>
        <v xml:space="preserve">Generelle Inj/inf  </v>
      </c>
      <c r="K127" s="115" t="s">
        <v>44</v>
      </c>
      <c r="L127" s="115" t="s">
        <v>45</v>
      </c>
      <c r="M127" s="115"/>
      <c r="N127" s="121"/>
    </row>
    <row r="128" spans="2:14" ht="39.950000000000003" customHeight="1" x14ac:dyDescent="0.25">
      <c r="B128" s="120">
        <v>124</v>
      </c>
      <c r="C128" s="115" t="s">
        <v>302</v>
      </c>
      <c r="D128" s="115" t="s">
        <v>303</v>
      </c>
      <c r="E128" s="115" t="s">
        <v>40</v>
      </c>
      <c r="F128" s="115" t="s">
        <v>41</v>
      </c>
      <c r="G128" s="115" t="s">
        <v>42</v>
      </c>
      <c r="H128" s="115" t="s">
        <v>43</v>
      </c>
      <c r="I128" s="115"/>
      <c r="J128" s="115" t="str">
        <f>tabell_anskaffelsens_innhold[[#This Row],[Kravsett 1]]&amp;" "&amp;tabell_anskaffelsens_innhold[[#This Row],[Kravsett 2]]&amp;" "&amp;tabell_anskaffelsens_innhold[[#This Row],[Kravsett 3]]&amp;" "&amp;tabell_anskaffelsens_innhold[[#This Row],[Kravsett 4]]</f>
        <v xml:space="preserve">Generelle Inj/inf  </v>
      </c>
      <c r="K128" s="115" t="s">
        <v>44</v>
      </c>
      <c r="L128" s="115" t="s">
        <v>45</v>
      </c>
      <c r="M128" s="115"/>
      <c r="N128" s="121"/>
    </row>
    <row r="129" spans="2:14" ht="39.950000000000003" customHeight="1" x14ac:dyDescent="0.25">
      <c r="B129" s="120">
        <v>125</v>
      </c>
      <c r="C129" s="115" t="s">
        <v>302</v>
      </c>
      <c r="D129" s="115" t="s">
        <v>304</v>
      </c>
      <c r="E129" s="115" t="s">
        <v>40</v>
      </c>
      <c r="F129" s="115" t="s">
        <v>41</v>
      </c>
      <c r="G129" s="115" t="s">
        <v>42</v>
      </c>
      <c r="H129" s="115" t="s">
        <v>43</v>
      </c>
      <c r="I129" s="115"/>
      <c r="J129" s="115" t="str">
        <f>tabell_anskaffelsens_innhold[[#This Row],[Kravsett 1]]&amp;" "&amp;tabell_anskaffelsens_innhold[[#This Row],[Kravsett 2]]&amp;" "&amp;tabell_anskaffelsens_innhold[[#This Row],[Kravsett 3]]&amp;" "&amp;tabell_anskaffelsens_innhold[[#This Row],[Kravsett 4]]</f>
        <v xml:space="preserve">Generelle Inj/inf  </v>
      </c>
      <c r="K129" s="115" t="s">
        <v>44</v>
      </c>
      <c r="L129" s="115" t="s">
        <v>45</v>
      </c>
      <c r="M129" s="115"/>
      <c r="N129" s="121"/>
    </row>
    <row r="130" spans="2:14" ht="39.950000000000003" customHeight="1" x14ac:dyDescent="0.25">
      <c r="B130" s="120">
        <v>126</v>
      </c>
      <c r="C130" s="115" t="s">
        <v>305</v>
      </c>
      <c r="D130" s="115" t="s">
        <v>306</v>
      </c>
      <c r="E130" s="115" t="s">
        <v>40</v>
      </c>
      <c r="F130" s="115" t="s">
        <v>41</v>
      </c>
      <c r="G130" s="115" t="s">
        <v>42</v>
      </c>
      <c r="H130" s="115" t="s">
        <v>43</v>
      </c>
      <c r="I130" s="115"/>
      <c r="J130" s="115" t="str">
        <f>tabell_anskaffelsens_innhold[[#This Row],[Kravsett 1]]&amp;" "&amp;tabell_anskaffelsens_innhold[[#This Row],[Kravsett 2]]&amp;" "&amp;tabell_anskaffelsens_innhold[[#This Row],[Kravsett 3]]&amp;" "&amp;tabell_anskaffelsens_innhold[[#This Row],[Kravsett 4]]</f>
        <v xml:space="preserve">Generelle Inj/inf  </v>
      </c>
      <c r="K130" s="115" t="s">
        <v>44</v>
      </c>
      <c r="L130" s="115" t="s">
        <v>45</v>
      </c>
      <c r="M130" s="115"/>
      <c r="N130" s="121"/>
    </row>
    <row r="131" spans="2:14" ht="39.950000000000003" customHeight="1" x14ac:dyDescent="0.25">
      <c r="B131" s="120">
        <v>127</v>
      </c>
      <c r="C131" s="115" t="s">
        <v>305</v>
      </c>
      <c r="D131" s="115" t="s">
        <v>307</v>
      </c>
      <c r="E131" s="115" t="s">
        <v>40</v>
      </c>
      <c r="F131" s="115" t="s">
        <v>41</v>
      </c>
      <c r="G131" s="115" t="s">
        <v>42</v>
      </c>
      <c r="H131" s="115" t="s">
        <v>43</v>
      </c>
      <c r="I131" s="115"/>
      <c r="J131" s="115" t="str">
        <f>tabell_anskaffelsens_innhold[[#This Row],[Kravsett 1]]&amp;" "&amp;tabell_anskaffelsens_innhold[[#This Row],[Kravsett 2]]&amp;" "&amp;tabell_anskaffelsens_innhold[[#This Row],[Kravsett 3]]&amp;" "&amp;tabell_anskaffelsens_innhold[[#This Row],[Kravsett 4]]</f>
        <v xml:space="preserve">Generelle Inj/inf  </v>
      </c>
      <c r="K131" s="115" t="s">
        <v>44</v>
      </c>
      <c r="L131" s="115" t="s">
        <v>45</v>
      </c>
      <c r="M131" s="115"/>
      <c r="N131" s="121"/>
    </row>
    <row r="132" spans="2:14" ht="39.950000000000003" customHeight="1" x14ac:dyDescent="0.25">
      <c r="B132" s="120">
        <v>128</v>
      </c>
      <c r="C132" s="115" t="s">
        <v>308</v>
      </c>
      <c r="D132" s="115" t="s">
        <v>309</v>
      </c>
      <c r="E132" s="115" t="s">
        <v>40</v>
      </c>
      <c r="F132" s="115" t="s">
        <v>41</v>
      </c>
      <c r="G132" s="115" t="s">
        <v>42</v>
      </c>
      <c r="H132" s="115" t="s">
        <v>43</v>
      </c>
      <c r="I132" s="115"/>
      <c r="J132" s="115" t="str">
        <f>tabell_anskaffelsens_innhold[[#This Row],[Kravsett 1]]&amp;" "&amp;tabell_anskaffelsens_innhold[[#This Row],[Kravsett 2]]&amp;" "&amp;tabell_anskaffelsens_innhold[[#This Row],[Kravsett 3]]&amp;" "&amp;tabell_anskaffelsens_innhold[[#This Row],[Kravsett 4]]</f>
        <v xml:space="preserve">Generelle Inj/inf  </v>
      </c>
      <c r="K132" s="115" t="s">
        <v>44</v>
      </c>
      <c r="L132" s="115" t="s">
        <v>45</v>
      </c>
      <c r="M132" s="115"/>
      <c r="N132" s="121"/>
    </row>
    <row r="133" spans="2:14" ht="39.950000000000003" customHeight="1" x14ac:dyDescent="0.25">
      <c r="B133" s="120">
        <v>129</v>
      </c>
      <c r="C133" s="115" t="s">
        <v>310</v>
      </c>
      <c r="D133" s="115" t="s">
        <v>311</v>
      </c>
      <c r="E133" s="115" t="s">
        <v>40</v>
      </c>
      <c r="F133" s="115" t="s">
        <v>41</v>
      </c>
      <c r="G133" s="115" t="s">
        <v>42</v>
      </c>
      <c r="H133" s="115" t="s">
        <v>43</v>
      </c>
      <c r="I133" s="115">
        <v>30</v>
      </c>
      <c r="J133" s="115" t="str">
        <f>tabell_anskaffelsens_innhold[[#This Row],[Kravsett 1]]&amp;" "&amp;tabell_anskaffelsens_innhold[[#This Row],[Kravsett 2]]&amp;" "&amp;tabell_anskaffelsens_innhold[[#This Row],[Kravsett 3]]&amp;" "&amp;tabell_anskaffelsens_innhold[[#This Row],[Kravsett 4]]</f>
        <v xml:space="preserve">Generelle Inj/inf  </v>
      </c>
      <c r="K133" s="115" t="s">
        <v>44</v>
      </c>
      <c r="L133" s="115" t="s">
        <v>45</v>
      </c>
      <c r="M133" s="115"/>
      <c r="N133" s="121"/>
    </row>
    <row r="134" spans="2:14" ht="39.950000000000003" customHeight="1" x14ac:dyDescent="0.25">
      <c r="B134" s="120">
        <v>130</v>
      </c>
      <c r="C134" s="115" t="s">
        <v>312</v>
      </c>
      <c r="D134" s="115" t="s">
        <v>313</v>
      </c>
      <c r="E134" s="115" t="s">
        <v>55</v>
      </c>
      <c r="F134" s="115" t="s">
        <v>41</v>
      </c>
      <c r="G134" s="115" t="s">
        <v>42</v>
      </c>
      <c r="H134" s="115" t="s">
        <v>43</v>
      </c>
      <c r="I134" s="115"/>
      <c r="J134" s="115" t="str">
        <f>tabell_anskaffelsens_innhold[[#This Row],[Kravsett 1]]&amp;" "&amp;tabell_anskaffelsens_innhold[[#This Row],[Kravsett 2]]&amp;" "&amp;tabell_anskaffelsens_innhold[[#This Row],[Kravsett 3]]&amp;" "&amp;tabell_anskaffelsens_innhold[[#This Row],[Kravsett 4]]</f>
        <v xml:space="preserve">Generelle Tabletter/kapsler  </v>
      </c>
      <c r="K134" s="115" t="s">
        <v>44</v>
      </c>
      <c r="L134" s="115" t="s">
        <v>57</v>
      </c>
      <c r="M134" s="115"/>
      <c r="N134" s="121"/>
    </row>
    <row r="135" spans="2:14" ht="39.950000000000003" customHeight="1" x14ac:dyDescent="0.25">
      <c r="B135" s="120">
        <v>131</v>
      </c>
      <c r="C135" s="115" t="s">
        <v>314</v>
      </c>
      <c r="D135" s="115" t="s">
        <v>315</v>
      </c>
      <c r="E135" s="115" t="s">
        <v>85</v>
      </c>
      <c r="F135" s="115" t="s">
        <v>41</v>
      </c>
      <c r="G135" s="115" t="s">
        <v>42</v>
      </c>
      <c r="H135" s="115" t="s">
        <v>43</v>
      </c>
      <c r="I135" s="115"/>
      <c r="J135" s="115" t="str">
        <f>tabell_anskaffelsens_innhold[[#This Row],[Kravsett 1]]&amp;" "&amp;tabell_anskaffelsens_innhold[[#This Row],[Kravsett 2]]&amp;" "&amp;tabell_anskaffelsens_innhold[[#This Row],[Kravsett 3]]&amp;" "&amp;tabell_anskaffelsens_innhold[[#This Row],[Kravsett 4]]</f>
        <v xml:space="preserve">Generelle Tørrstoff  </v>
      </c>
      <c r="K135" s="115" t="s">
        <v>44</v>
      </c>
      <c r="L135" s="115" t="s">
        <v>85</v>
      </c>
      <c r="M135" s="115"/>
      <c r="N135" s="121"/>
    </row>
    <row r="136" spans="2:14" ht="39.950000000000003" customHeight="1" x14ac:dyDescent="0.25">
      <c r="B136" s="120">
        <v>132</v>
      </c>
      <c r="C136" s="115" t="s">
        <v>316</v>
      </c>
      <c r="D136" s="115" t="s">
        <v>317</v>
      </c>
      <c r="E136" s="115" t="s">
        <v>40</v>
      </c>
      <c r="F136" s="115" t="s">
        <v>41</v>
      </c>
      <c r="G136" s="115" t="s">
        <v>42</v>
      </c>
      <c r="H136" s="115" t="s">
        <v>43</v>
      </c>
      <c r="I136" s="115"/>
      <c r="J136" s="115" t="str">
        <f>tabell_anskaffelsens_innhold[[#This Row],[Kravsett 1]]&amp;" "&amp;tabell_anskaffelsens_innhold[[#This Row],[Kravsett 2]]&amp;" "&amp;tabell_anskaffelsens_innhold[[#This Row],[Kravsett 3]]&amp;" "&amp;tabell_anskaffelsens_innhold[[#This Row],[Kravsett 4]]</f>
        <v xml:space="preserve">Generelle Inj/inf  </v>
      </c>
      <c r="K136" s="115" t="s">
        <v>44</v>
      </c>
      <c r="L136" s="115" t="s">
        <v>45</v>
      </c>
      <c r="M136" s="115"/>
      <c r="N136" s="121"/>
    </row>
    <row r="137" spans="2:14" ht="39.950000000000003" customHeight="1" x14ac:dyDescent="0.25">
      <c r="B137" s="120">
        <v>133</v>
      </c>
      <c r="C137" s="115" t="s">
        <v>318</v>
      </c>
      <c r="D137" s="115" t="s">
        <v>319</v>
      </c>
      <c r="E137" s="115" t="s">
        <v>320</v>
      </c>
      <c r="F137" s="115" t="s">
        <v>321</v>
      </c>
      <c r="G137" s="115" t="s">
        <v>42</v>
      </c>
      <c r="H137" s="115" t="s">
        <v>43</v>
      </c>
      <c r="I137" s="115"/>
      <c r="J137" s="115" t="str">
        <f>tabell_anskaffelsens_innhold[[#This Row],[Kravsett 1]]&amp;" "&amp;tabell_anskaffelsens_innhold[[#This Row],[Kravsett 2]]&amp;" "&amp;tabell_anskaffelsens_innhold[[#This Row],[Kravsett 3]]&amp;" "&amp;tabell_anskaffelsens_innhold[[#This Row],[Kravsett 4]]</f>
        <v xml:space="preserve">Generelle   </v>
      </c>
      <c r="K137" s="115" t="s">
        <v>44</v>
      </c>
      <c r="L137" s="115"/>
      <c r="M137" s="115"/>
      <c r="N137" s="121"/>
    </row>
    <row r="138" spans="2:14" ht="39.950000000000003" customHeight="1" x14ac:dyDescent="0.25">
      <c r="B138" s="120">
        <v>134</v>
      </c>
      <c r="C138" s="115" t="s">
        <v>318</v>
      </c>
      <c r="D138" s="115" t="s">
        <v>322</v>
      </c>
      <c r="E138" s="115" t="s">
        <v>320</v>
      </c>
      <c r="F138" s="115" t="s">
        <v>321</v>
      </c>
      <c r="G138" s="115" t="s">
        <v>42</v>
      </c>
      <c r="H138" s="115" t="s">
        <v>43</v>
      </c>
      <c r="I138" s="115"/>
      <c r="J138" s="115" t="str">
        <f>tabell_anskaffelsens_innhold[[#This Row],[Kravsett 1]]&amp;" "&amp;tabell_anskaffelsens_innhold[[#This Row],[Kravsett 2]]&amp;" "&amp;tabell_anskaffelsens_innhold[[#This Row],[Kravsett 3]]&amp;" "&amp;tabell_anskaffelsens_innhold[[#This Row],[Kravsett 4]]</f>
        <v xml:space="preserve">Generelle   </v>
      </c>
      <c r="K138" s="115" t="s">
        <v>44</v>
      </c>
      <c r="L138" s="115"/>
      <c r="M138" s="115"/>
      <c r="N138" s="121"/>
    </row>
    <row r="139" spans="2:14" ht="39.950000000000003" customHeight="1" x14ac:dyDescent="0.25">
      <c r="B139" s="120">
        <v>135</v>
      </c>
      <c r="C139" s="115" t="s">
        <v>318</v>
      </c>
      <c r="D139" s="115" t="s">
        <v>306</v>
      </c>
      <c r="E139" s="115" t="s">
        <v>320</v>
      </c>
      <c r="F139" s="115" t="s">
        <v>321</v>
      </c>
      <c r="G139" s="115" t="s">
        <v>42</v>
      </c>
      <c r="H139" s="115" t="s">
        <v>43</v>
      </c>
      <c r="I139" s="115"/>
      <c r="J139" s="115" t="str">
        <f>tabell_anskaffelsens_innhold[[#This Row],[Kravsett 1]]&amp;" "&amp;tabell_anskaffelsens_innhold[[#This Row],[Kravsett 2]]&amp;" "&amp;tabell_anskaffelsens_innhold[[#This Row],[Kravsett 3]]&amp;" "&amp;tabell_anskaffelsens_innhold[[#This Row],[Kravsett 4]]</f>
        <v xml:space="preserve">Generelle   </v>
      </c>
      <c r="K139" s="115" t="s">
        <v>44</v>
      </c>
      <c r="L139" s="115"/>
      <c r="M139" s="115"/>
      <c r="N139" s="121"/>
    </row>
    <row r="140" spans="2:14" ht="39.950000000000003" customHeight="1" x14ac:dyDescent="0.25">
      <c r="B140" s="120">
        <v>136</v>
      </c>
      <c r="C140" s="115" t="s">
        <v>318</v>
      </c>
      <c r="D140" s="115" t="s">
        <v>323</v>
      </c>
      <c r="E140" s="115" t="s">
        <v>320</v>
      </c>
      <c r="F140" s="115" t="s">
        <v>321</v>
      </c>
      <c r="G140" s="115" t="s">
        <v>42</v>
      </c>
      <c r="H140" s="115" t="s">
        <v>43</v>
      </c>
      <c r="I140" s="115"/>
      <c r="J140" s="115" t="str">
        <f>tabell_anskaffelsens_innhold[[#This Row],[Kravsett 1]]&amp;" "&amp;tabell_anskaffelsens_innhold[[#This Row],[Kravsett 2]]&amp;" "&amp;tabell_anskaffelsens_innhold[[#This Row],[Kravsett 3]]&amp;" "&amp;tabell_anskaffelsens_innhold[[#This Row],[Kravsett 4]]</f>
        <v xml:space="preserve">Generelle   </v>
      </c>
      <c r="K140" s="115" t="s">
        <v>44</v>
      </c>
      <c r="L140" s="115"/>
      <c r="M140" s="115"/>
      <c r="N140" s="121"/>
    </row>
    <row r="141" spans="2:14" ht="39.950000000000003" customHeight="1" x14ac:dyDescent="0.25">
      <c r="B141" s="120">
        <v>137</v>
      </c>
      <c r="C141" s="115" t="s">
        <v>318</v>
      </c>
      <c r="D141" s="115" t="s">
        <v>324</v>
      </c>
      <c r="E141" s="115" t="s">
        <v>320</v>
      </c>
      <c r="F141" s="115" t="s">
        <v>321</v>
      </c>
      <c r="G141" s="115" t="s">
        <v>42</v>
      </c>
      <c r="H141" s="115" t="s">
        <v>43</v>
      </c>
      <c r="I141" s="115"/>
      <c r="J141" s="115" t="str">
        <f>tabell_anskaffelsens_innhold[[#This Row],[Kravsett 1]]&amp;" "&amp;tabell_anskaffelsens_innhold[[#This Row],[Kravsett 2]]&amp;" "&amp;tabell_anskaffelsens_innhold[[#This Row],[Kravsett 3]]&amp;" "&amp;tabell_anskaffelsens_innhold[[#This Row],[Kravsett 4]]</f>
        <v xml:space="preserve">Generelle   </v>
      </c>
      <c r="K141" s="115" t="s">
        <v>44</v>
      </c>
      <c r="L141" s="115"/>
      <c r="M141" s="115"/>
      <c r="N141" s="121"/>
    </row>
    <row r="142" spans="2:14" ht="39.950000000000003" customHeight="1" x14ac:dyDescent="0.25">
      <c r="B142" s="120">
        <v>138</v>
      </c>
      <c r="C142" s="115" t="s">
        <v>318</v>
      </c>
      <c r="D142" s="115" t="s">
        <v>307</v>
      </c>
      <c r="E142" s="115" t="s">
        <v>320</v>
      </c>
      <c r="F142" s="115" t="s">
        <v>321</v>
      </c>
      <c r="G142" s="115" t="s">
        <v>42</v>
      </c>
      <c r="H142" s="115" t="s">
        <v>43</v>
      </c>
      <c r="I142" s="115"/>
      <c r="J142" s="115" t="str">
        <f>tabell_anskaffelsens_innhold[[#This Row],[Kravsett 1]]&amp;" "&amp;tabell_anskaffelsens_innhold[[#This Row],[Kravsett 2]]&amp;" "&amp;tabell_anskaffelsens_innhold[[#This Row],[Kravsett 3]]&amp;" "&amp;tabell_anskaffelsens_innhold[[#This Row],[Kravsett 4]]</f>
        <v xml:space="preserve">Generelle   </v>
      </c>
      <c r="K142" s="115" t="s">
        <v>44</v>
      </c>
      <c r="L142" s="115"/>
      <c r="M142" s="115"/>
      <c r="N142" s="121"/>
    </row>
    <row r="143" spans="2:14" ht="39.950000000000003" customHeight="1" x14ac:dyDescent="0.25">
      <c r="B143" s="120">
        <v>139</v>
      </c>
      <c r="C143" s="115" t="s">
        <v>318</v>
      </c>
      <c r="D143" s="115" t="s">
        <v>325</v>
      </c>
      <c r="E143" s="115" t="s">
        <v>320</v>
      </c>
      <c r="F143" s="115" t="s">
        <v>321</v>
      </c>
      <c r="G143" s="115" t="s">
        <v>42</v>
      </c>
      <c r="H143" s="115" t="s">
        <v>43</v>
      </c>
      <c r="I143" s="115"/>
      <c r="J143" s="115" t="str">
        <f>tabell_anskaffelsens_innhold[[#This Row],[Kravsett 1]]&amp;" "&amp;tabell_anskaffelsens_innhold[[#This Row],[Kravsett 2]]&amp;" "&amp;tabell_anskaffelsens_innhold[[#This Row],[Kravsett 3]]&amp;" "&amp;tabell_anskaffelsens_innhold[[#This Row],[Kravsett 4]]</f>
        <v xml:space="preserve">Generelle   </v>
      </c>
      <c r="K143" s="115" t="s">
        <v>44</v>
      </c>
      <c r="L143" s="115"/>
      <c r="M143" s="115"/>
      <c r="N143" s="121"/>
    </row>
    <row r="144" spans="2:14" ht="39.950000000000003" customHeight="1" x14ac:dyDescent="0.25">
      <c r="B144" s="120">
        <v>140</v>
      </c>
      <c r="C144" s="115" t="s">
        <v>318</v>
      </c>
      <c r="D144" s="115" t="s">
        <v>326</v>
      </c>
      <c r="E144" s="115" t="s">
        <v>320</v>
      </c>
      <c r="F144" s="115" t="s">
        <v>321</v>
      </c>
      <c r="G144" s="115" t="s">
        <v>42</v>
      </c>
      <c r="H144" s="115" t="s">
        <v>43</v>
      </c>
      <c r="I144" s="115"/>
      <c r="J144" s="115" t="str">
        <f>tabell_anskaffelsens_innhold[[#This Row],[Kravsett 1]]&amp;" "&amp;tabell_anskaffelsens_innhold[[#This Row],[Kravsett 2]]&amp;" "&amp;tabell_anskaffelsens_innhold[[#This Row],[Kravsett 3]]&amp;" "&amp;tabell_anskaffelsens_innhold[[#This Row],[Kravsett 4]]</f>
        <v xml:space="preserve">Generelle   </v>
      </c>
      <c r="K144" s="115" t="s">
        <v>44</v>
      </c>
      <c r="L144" s="115"/>
      <c r="M144" s="115"/>
      <c r="N144" s="121"/>
    </row>
    <row r="145" spans="2:14" ht="39.950000000000003" customHeight="1" x14ac:dyDescent="0.25">
      <c r="B145" s="120">
        <v>141</v>
      </c>
      <c r="C145" s="115" t="s">
        <v>318</v>
      </c>
      <c r="D145" s="115" t="s">
        <v>327</v>
      </c>
      <c r="E145" s="115" t="s">
        <v>320</v>
      </c>
      <c r="F145" s="115" t="s">
        <v>321</v>
      </c>
      <c r="G145" s="115" t="s">
        <v>42</v>
      </c>
      <c r="H145" s="115" t="s">
        <v>43</v>
      </c>
      <c r="I145" s="115"/>
      <c r="J145" s="115" t="str">
        <f>tabell_anskaffelsens_innhold[[#This Row],[Kravsett 1]]&amp;" "&amp;tabell_anskaffelsens_innhold[[#This Row],[Kravsett 2]]&amp;" "&amp;tabell_anskaffelsens_innhold[[#This Row],[Kravsett 3]]&amp;" "&amp;tabell_anskaffelsens_innhold[[#This Row],[Kravsett 4]]</f>
        <v xml:space="preserve">Generelle   </v>
      </c>
      <c r="K145" s="115" t="s">
        <v>44</v>
      </c>
      <c r="L145" s="115"/>
      <c r="M145" s="115"/>
      <c r="N145" s="121"/>
    </row>
    <row r="146" spans="2:14" ht="39.950000000000003" customHeight="1" x14ac:dyDescent="0.25">
      <c r="B146" s="120">
        <v>142</v>
      </c>
      <c r="C146" s="115" t="s">
        <v>318</v>
      </c>
      <c r="D146" s="115" t="s">
        <v>328</v>
      </c>
      <c r="E146" s="115" t="s">
        <v>320</v>
      </c>
      <c r="F146" s="115" t="s">
        <v>321</v>
      </c>
      <c r="G146" s="115" t="s">
        <v>42</v>
      </c>
      <c r="H146" s="115" t="s">
        <v>43</v>
      </c>
      <c r="I146" s="115"/>
      <c r="J146" s="115" t="str">
        <f>tabell_anskaffelsens_innhold[[#This Row],[Kravsett 1]]&amp;" "&amp;tabell_anskaffelsens_innhold[[#This Row],[Kravsett 2]]&amp;" "&amp;tabell_anskaffelsens_innhold[[#This Row],[Kravsett 3]]&amp;" "&amp;tabell_anskaffelsens_innhold[[#This Row],[Kravsett 4]]</f>
        <v xml:space="preserve">Generelle   </v>
      </c>
      <c r="K146" s="115" t="s">
        <v>44</v>
      </c>
      <c r="L146" s="115"/>
      <c r="M146" s="115"/>
      <c r="N146" s="121"/>
    </row>
    <row r="147" spans="2:14" ht="39.950000000000003" customHeight="1" x14ac:dyDescent="0.25">
      <c r="B147" s="120">
        <v>143</v>
      </c>
      <c r="C147" s="115" t="s">
        <v>318</v>
      </c>
      <c r="D147" s="115" t="s">
        <v>329</v>
      </c>
      <c r="E147" s="115" t="s">
        <v>320</v>
      </c>
      <c r="F147" s="115" t="s">
        <v>321</v>
      </c>
      <c r="G147" s="115" t="s">
        <v>42</v>
      </c>
      <c r="H147" s="115" t="s">
        <v>43</v>
      </c>
      <c r="I147" s="115"/>
      <c r="J147" s="115" t="str">
        <f>tabell_anskaffelsens_innhold[[#This Row],[Kravsett 1]]&amp;" "&amp;tabell_anskaffelsens_innhold[[#This Row],[Kravsett 2]]&amp;" "&amp;tabell_anskaffelsens_innhold[[#This Row],[Kravsett 3]]&amp;" "&amp;tabell_anskaffelsens_innhold[[#This Row],[Kravsett 4]]</f>
        <v xml:space="preserve">Generelle   </v>
      </c>
      <c r="K147" s="115" t="s">
        <v>44</v>
      </c>
      <c r="L147" s="115"/>
      <c r="M147" s="115"/>
      <c r="N147" s="121"/>
    </row>
    <row r="148" spans="2:14" ht="39.950000000000003" customHeight="1" x14ac:dyDescent="0.25">
      <c r="B148" s="120">
        <v>144</v>
      </c>
      <c r="C148" s="115" t="s">
        <v>318</v>
      </c>
      <c r="D148" s="115" t="s">
        <v>330</v>
      </c>
      <c r="E148" s="115" t="s">
        <v>320</v>
      </c>
      <c r="F148" s="115" t="s">
        <v>321</v>
      </c>
      <c r="G148" s="115" t="s">
        <v>42</v>
      </c>
      <c r="H148" s="115" t="s">
        <v>43</v>
      </c>
      <c r="I148" s="115"/>
      <c r="J148" s="115" t="str">
        <f>tabell_anskaffelsens_innhold[[#This Row],[Kravsett 1]]&amp;" "&amp;tabell_anskaffelsens_innhold[[#This Row],[Kravsett 2]]&amp;" "&amp;tabell_anskaffelsens_innhold[[#This Row],[Kravsett 3]]&amp;" "&amp;tabell_anskaffelsens_innhold[[#This Row],[Kravsett 4]]</f>
        <v xml:space="preserve">Generelle   </v>
      </c>
      <c r="K148" s="115" t="s">
        <v>44</v>
      </c>
      <c r="L148" s="115"/>
      <c r="M148" s="115"/>
      <c r="N148" s="121"/>
    </row>
    <row r="149" spans="2:14" ht="39.950000000000003" customHeight="1" x14ac:dyDescent="0.25">
      <c r="B149" s="120">
        <v>145</v>
      </c>
      <c r="C149" s="115" t="s">
        <v>318</v>
      </c>
      <c r="D149" s="115" t="s">
        <v>331</v>
      </c>
      <c r="E149" s="115" t="s">
        <v>103</v>
      </c>
      <c r="F149" s="115" t="s">
        <v>41</v>
      </c>
      <c r="G149" s="115" t="s">
        <v>42</v>
      </c>
      <c r="H149" s="115" t="s">
        <v>43</v>
      </c>
      <c r="I149" s="115"/>
      <c r="J149" s="115" t="str">
        <f>tabell_anskaffelsens_innhold[[#This Row],[Kravsett 1]]&amp;" "&amp;tabell_anskaffelsens_innhold[[#This Row],[Kravsett 2]]&amp;" "&amp;tabell_anskaffelsens_innhold[[#This Row],[Kravsett 3]]&amp;" "&amp;tabell_anskaffelsens_innhold[[#This Row],[Kravsett 4]]</f>
        <v xml:space="preserve">Generelle   </v>
      </c>
      <c r="K149" s="115" t="s">
        <v>44</v>
      </c>
      <c r="L149" s="115"/>
      <c r="M149" s="115"/>
      <c r="N149" s="121"/>
    </row>
    <row r="150" spans="2:14" ht="39.950000000000003" customHeight="1" x14ac:dyDescent="0.25">
      <c r="B150" s="120">
        <v>146</v>
      </c>
      <c r="C150" s="115" t="s">
        <v>318</v>
      </c>
      <c r="D150" s="115" t="s">
        <v>332</v>
      </c>
      <c r="E150" s="115" t="s">
        <v>103</v>
      </c>
      <c r="F150" s="115" t="s">
        <v>41</v>
      </c>
      <c r="G150" s="115" t="s">
        <v>42</v>
      </c>
      <c r="H150" s="115" t="s">
        <v>43</v>
      </c>
      <c r="I150" s="115"/>
      <c r="J150" s="115" t="str">
        <f>tabell_anskaffelsens_innhold[[#This Row],[Kravsett 1]]&amp;" "&amp;tabell_anskaffelsens_innhold[[#This Row],[Kravsett 2]]&amp;" "&amp;tabell_anskaffelsens_innhold[[#This Row],[Kravsett 3]]&amp;" "&amp;tabell_anskaffelsens_innhold[[#This Row],[Kravsett 4]]</f>
        <v xml:space="preserve">Generelle   </v>
      </c>
      <c r="K150" s="115" t="s">
        <v>44</v>
      </c>
      <c r="L150" s="115"/>
      <c r="M150" s="115"/>
      <c r="N150" s="121"/>
    </row>
    <row r="151" spans="2:14" ht="39.950000000000003" customHeight="1" x14ac:dyDescent="0.25">
      <c r="B151" s="120">
        <v>147</v>
      </c>
      <c r="C151" s="115" t="s">
        <v>333</v>
      </c>
      <c r="D151" s="115" t="s">
        <v>334</v>
      </c>
      <c r="E151" s="115" t="s">
        <v>85</v>
      </c>
      <c r="F151" s="115" t="s">
        <v>41</v>
      </c>
      <c r="G151" s="115" t="s">
        <v>42</v>
      </c>
      <c r="H151" s="115" t="s">
        <v>43</v>
      </c>
      <c r="I151" s="115"/>
      <c r="J151" s="115" t="str">
        <f>tabell_anskaffelsens_innhold[[#This Row],[Kravsett 1]]&amp;" "&amp;tabell_anskaffelsens_innhold[[#This Row],[Kravsett 2]]&amp;" "&amp;tabell_anskaffelsens_innhold[[#This Row],[Kravsett 3]]&amp;" "&amp;tabell_anskaffelsens_innhold[[#This Row],[Kravsett 4]]</f>
        <v xml:space="preserve">Generelle Tørrstoff  </v>
      </c>
      <c r="K151" s="115" t="s">
        <v>44</v>
      </c>
      <c r="L151" s="115" t="s">
        <v>85</v>
      </c>
      <c r="M151" s="115"/>
      <c r="N151" s="121"/>
    </row>
    <row r="152" spans="2:14" ht="39.950000000000003" customHeight="1" x14ac:dyDescent="0.25">
      <c r="B152" s="120">
        <v>148</v>
      </c>
      <c r="C152" s="115" t="s">
        <v>335</v>
      </c>
      <c r="D152" s="115" t="s">
        <v>336</v>
      </c>
      <c r="E152" s="115" t="s">
        <v>220</v>
      </c>
      <c r="F152" s="115" t="s">
        <v>41</v>
      </c>
      <c r="G152" s="115" t="s">
        <v>42</v>
      </c>
      <c r="H152" s="115" t="s">
        <v>43</v>
      </c>
      <c r="I152" s="115"/>
      <c r="J152" s="115" t="str">
        <f>tabell_anskaffelsens_innhold[[#This Row],[Kravsett 1]]&amp;" "&amp;tabell_anskaffelsens_innhold[[#This Row],[Kravsett 2]]&amp;" "&amp;tabell_anskaffelsens_innhold[[#This Row],[Kravsett 3]]&amp;" "&amp;tabell_anskaffelsens_innhold[[#This Row],[Kravsett 4]]</f>
        <v xml:space="preserve">Generelle   </v>
      </c>
      <c r="K152" s="115" t="s">
        <v>44</v>
      </c>
      <c r="L152" s="115"/>
      <c r="M152" s="115"/>
      <c r="N152" s="121"/>
    </row>
    <row r="153" spans="2:14" ht="39.950000000000003" customHeight="1" x14ac:dyDescent="0.25">
      <c r="B153" s="120">
        <v>149</v>
      </c>
      <c r="C153" s="122" t="s">
        <v>337</v>
      </c>
      <c r="D153" s="122" t="s">
        <v>338</v>
      </c>
      <c r="E153" s="122" t="s">
        <v>40</v>
      </c>
      <c r="F153" s="122" t="s">
        <v>41</v>
      </c>
      <c r="G153" s="122" t="s">
        <v>42</v>
      </c>
      <c r="H153" s="122" t="s">
        <v>43</v>
      </c>
      <c r="I153" s="122"/>
      <c r="J153" s="122" t="str">
        <f>tabell_anskaffelsens_innhold[[#This Row],[Kravsett 1]]&amp;" "&amp;tabell_anskaffelsens_innhold[[#This Row],[Kravsett 2]]&amp;" "&amp;tabell_anskaffelsens_innhold[[#This Row],[Kravsett 3]]&amp;" "&amp;tabell_anskaffelsens_innhold[[#This Row],[Kravsett 4]]</f>
        <v xml:space="preserve">Generelle Inj/inf  </v>
      </c>
      <c r="K153" s="122" t="s">
        <v>44</v>
      </c>
      <c r="L153" s="115" t="s">
        <v>45</v>
      </c>
      <c r="M153" s="122"/>
      <c r="N153" s="123"/>
    </row>
    <row r="154" spans="2:14" ht="39.950000000000003" customHeight="1" x14ac:dyDescent="0.25">
      <c r="B154" s="120">
        <v>150</v>
      </c>
      <c r="C154" s="115" t="s">
        <v>339</v>
      </c>
      <c r="D154" s="115" t="s">
        <v>340</v>
      </c>
      <c r="E154" s="115" t="s">
        <v>49</v>
      </c>
      <c r="F154" s="115" t="s">
        <v>41</v>
      </c>
      <c r="G154" s="122" t="s">
        <v>42</v>
      </c>
      <c r="H154" s="122" t="s">
        <v>43</v>
      </c>
      <c r="I154" s="115"/>
      <c r="J154" s="115" t="str">
        <f>tabell_anskaffelsens_innhold[[#This Row],[Kravsett 1]]&amp;" "&amp;tabell_anskaffelsens_innhold[[#This Row],[Kravsett 2]]&amp;" "&amp;tabell_anskaffelsens_innhold[[#This Row],[Kravsett 3]]&amp;" "&amp;tabell_anskaffelsens_innhold[[#This Row],[Kravsett 4]]</f>
        <v xml:space="preserve">Generelle Mikstur/dråper  </v>
      </c>
      <c r="K154" s="122" t="s">
        <v>44</v>
      </c>
      <c r="L154" s="115" t="s">
        <v>49</v>
      </c>
      <c r="M154" s="115"/>
      <c r="N154" s="121"/>
    </row>
    <row r="155" spans="2:14" ht="39.950000000000003" customHeight="1" x14ac:dyDescent="0.25">
      <c r="B155" s="134">
        <v>151</v>
      </c>
      <c r="C155" s="122" t="s">
        <v>199</v>
      </c>
      <c r="D155" s="122" t="s">
        <v>200</v>
      </c>
      <c r="E155" s="122" t="s">
        <v>40</v>
      </c>
      <c r="F155" s="122" t="s">
        <v>621</v>
      </c>
      <c r="G155" s="122" t="s">
        <v>42</v>
      </c>
      <c r="H155" s="122" t="s">
        <v>43</v>
      </c>
      <c r="I155" s="122"/>
      <c r="J155" s="135" t="str">
        <f>tabell_anskaffelsens_innhold[[#This Row],[Kravsett 1]]&amp;" "&amp;tabell_anskaffelsens_innhold[[#This Row],[Kravsett 2]]&amp;" "&amp;tabell_anskaffelsens_innhold[[#This Row],[Kravsett 3]]&amp;" "&amp;tabell_anskaffelsens_innhold[[#This Row],[Kravsett 4]]</f>
        <v xml:space="preserve">Generelle Inj/inf  </v>
      </c>
      <c r="K155" s="122" t="s">
        <v>44</v>
      </c>
      <c r="L155" s="122" t="s">
        <v>45</v>
      </c>
      <c r="M155" s="122"/>
      <c r="N155" s="123"/>
    </row>
  </sheetData>
  <mergeCells count="1">
    <mergeCell ref="K6:N6"/>
  </mergeCells>
  <phoneticPr fontId="25" type="noConversion"/>
  <pageMargins left="0.7" right="0.7" top="0.75" bottom="0.75" header="0.3" footer="0.3"/>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91CF483-4BB0-41D8-86EE-4698622166E8}">
          <x14:formula1>
            <xm:f>Lister!$A$76:$A$95</xm:f>
          </x14:formula1>
          <xm:sqref>K8:N155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EF8D-FFCD-4E43-A44D-774FCF13411B}">
  <dimension ref="B3:M486"/>
  <sheetViews>
    <sheetView topLeftCell="A3" zoomScale="90" zoomScaleNormal="90" workbookViewId="0">
      <selection activeCell="K28" sqref="K28"/>
    </sheetView>
  </sheetViews>
  <sheetFormatPr baseColWidth="10" defaultColWidth="11.42578125" defaultRowHeight="15" x14ac:dyDescent="0.25"/>
  <cols>
    <col min="1" max="1" width="11.42578125" style="8"/>
    <col min="2" max="2" width="11.42578125" style="8" hidden="1" customWidth="1"/>
    <col min="3" max="3" width="5.5703125" style="8" hidden="1" customWidth="1"/>
    <col min="4" max="4" width="8" style="8" customWidth="1"/>
    <col min="5" max="5" width="19.140625" style="8" customWidth="1"/>
    <col min="6" max="6" width="42.7109375" style="8" customWidth="1"/>
    <col min="7" max="7" width="85.140625" style="8" customWidth="1"/>
    <col min="8" max="8" width="16.85546875" style="8" customWidth="1"/>
    <col min="9" max="9" width="34.5703125" style="8" customWidth="1"/>
    <col min="10" max="10" width="18.7109375" style="8" customWidth="1"/>
    <col min="11" max="11" width="63" style="8" customWidth="1"/>
    <col min="12" max="12" width="36.28515625" style="8" customWidth="1"/>
    <col min="13" max="13" width="29.5703125" style="8" customWidth="1"/>
    <col min="14" max="16384" width="11.42578125" style="8"/>
  </cols>
  <sheetData>
    <row r="3" spans="4:12" ht="21" x14ac:dyDescent="0.25">
      <c r="D3" s="9" t="str">
        <f>CONCATENATE(navn_Anskaffelseskode," Vedlegg ",Dokumentnummer," Kravspesifikasjon ", Dokumentnavn)</f>
        <v>2301d Vedlegg 02 Kravspesifikasjon Uregistrerte legemidler</v>
      </c>
    </row>
    <row r="4" spans="4:12" ht="15.75" customHeight="1" x14ac:dyDescent="0.25">
      <c r="D4" s="9"/>
    </row>
    <row r="5" spans="4:12" ht="21" x14ac:dyDescent="0.25">
      <c r="D5" s="9" t="s">
        <v>341</v>
      </c>
      <c r="E5" s="9"/>
    </row>
    <row r="6" spans="4:12" s="15" customFormat="1" ht="33" customHeight="1" x14ac:dyDescent="0.25">
      <c r="D6" s="56" t="s">
        <v>342</v>
      </c>
      <c r="E6" s="56"/>
      <c r="F6" s="57"/>
      <c r="G6" s="58"/>
      <c r="H6" s="58"/>
      <c r="I6" s="58"/>
      <c r="J6" s="58"/>
      <c r="K6" s="58"/>
      <c r="L6" s="58"/>
    </row>
    <row r="7" spans="4:12" ht="14.85" customHeight="1" x14ac:dyDescent="0.25">
      <c r="D7" s="145" t="s">
        <v>343</v>
      </c>
      <c r="E7" s="145"/>
      <c r="F7" s="145"/>
      <c r="G7" s="59" t="s">
        <v>344</v>
      </c>
      <c r="H7" s="60"/>
      <c r="I7" s="60"/>
      <c r="J7" s="60"/>
      <c r="K7" s="60"/>
      <c r="L7" s="60"/>
    </row>
    <row r="8" spans="4:12" ht="14.85" customHeight="1" x14ac:dyDescent="0.25">
      <c r="D8" s="146" t="str">
        <f>Lister!I43</f>
        <v>Pris (P)</v>
      </c>
      <c r="E8" s="147"/>
      <c r="F8" s="148"/>
      <c r="G8" s="16">
        <f>Lister!J43</f>
        <v>0.35</v>
      </c>
      <c r="H8" s="60"/>
      <c r="I8" s="60"/>
      <c r="J8" s="61"/>
      <c r="K8" s="60"/>
      <c r="L8" s="60"/>
    </row>
    <row r="9" spans="4:12" ht="14.85" customHeight="1" x14ac:dyDescent="0.25">
      <c r="D9" s="149" t="str">
        <f>Lister!I44</f>
        <v>Brukervennlighet, pakninger og produktspekter (PP)</v>
      </c>
      <c r="E9" s="150"/>
      <c r="F9" s="151"/>
      <c r="G9" s="40">
        <f>Lister!J44</f>
        <v>0.45</v>
      </c>
      <c r="H9" s="60"/>
      <c r="I9" s="60"/>
      <c r="J9" s="60"/>
      <c r="K9" s="60"/>
      <c r="L9" s="60"/>
    </row>
    <row r="10" spans="4:12" ht="14.85" customHeight="1" x14ac:dyDescent="0.25">
      <c r="D10" s="152" t="str">
        <f>Lister!I45</f>
        <v>Leveringssikkerhet: Lager (LP1)</v>
      </c>
      <c r="E10" s="153"/>
      <c r="F10" s="154"/>
      <c r="G10" s="17">
        <f>Lister!J45</f>
        <v>0.15</v>
      </c>
      <c r="H10" s="60"/>
      <c r="I10" s="60"/>
      <c r="J10" s="60"/>
      <c r="K10" s="60"/>
      <c r="L10" s="60"/>
    </row>
    <row r="11" spans="4:12" ht="14.85" customHeight="1" x14ac:dyDescent="0.25">
      <c r="D11" s="152" t="str">
        <f>Lister!I46</f>
        <v>Leveringssikkerhet: Salg i flere land (LP2)</v>
      </c>
      <c r="E11" s="153"/>
      <c r="F11" s="154"/>
      <c r="G11" s="17">
        <f>Lister!J46</f>
        <v>0.05</v>
      </c>
      <c r="H11" s="60"/>
      <c r="I11" s="60"/>
      <c r="J11" s="60"/>
      <c r="K11" s="60"/>
      <c r="L11" s="60"/>
    </row>
    <row r="12" spans="4:12" ht="14.85" customHeight="1" x14ac:dyDescent="0.25">
      <c r="D12" s="152" t="str">
        <f>Lister!I47</f>
        <v>Leveringssikkerhet: Fellesnordisk pakning (LP3)</v>
      </c>
      <c r="E12" s="153"/>
      <c r="F12" s="154"/>
      <c r="G12" s="17">
        <f>Lister!J47</f>
        <v>0</v>
      </c>
      <c r="H12" s="60"/>
      <c r="I12" s="60"/>
      <c r="J12" s="60"/>
      <c r="K12" s="60"/>
      <c r="L12" s="60"/>
    </row>
    <row r="13" spans="4:12" ht="14.85" customHeight="1" x14ac:dyDescent="0.25">
      <c r="D13" s="167" t="str">
        <f>Lister!I48</f>
        <v xml:space="preserve">Miljø på leverandørnivå: XX (ML1) </v>
      </c>
      <c r="E13" s="168"/>
      <c r="F13" s="169"/>
      <c r="G13" s="41">
        <f>Lister!J48</f>
        <v>0</v>
      </c>
      <c r="H13" s="60"/>
      <c r="I13" s="60"/>
      <c r="J13" s="60"/>
      <c r="K13" s="60"/>
      <c r="L13" s="60"/>
    </row>
    <row r="14" spans="4:12" ht="14.85" customHeight="1" x14ac:dyDescent="0.25">
      <c r="D14" s="170" t="str">
        <f>Lister!I49</f>
        <v xml:space="preserve">Miljø på produktnivå: XX (MP1) </v>
      </c>
      <c r="E14" s="171"/>
      <c r="F14" s="172"/>
      <c r="G14" s="42">
        <f>Lister!J49</f>
        <v>0</v>
      </c>
      <c r="H14" s="60"/>
      <c r="I14" s="60"/>
      <c r="J14" s="60"/>
      <c r="K14" s="60"/>
      <c r="L14" s="60"/>
    </row>
    <row r="15" spans="4:12" ht="14.85" customHeight="1" x14ac:dyDescent="0.25">
      <c r="D15" s="149" t="str">
        <f>Lister!I50</f>
        <v>Pakninger og produktspekter (PP)</v>
      </c>
      <c r="E15" s="150"/>
      <c r="F15" s="151"/>
      <c r="G15" s="40">
        <f>Lister!J50</f>
        <v>0</v>
      </c>
      <c r="H15" s="60"/>
      <c r="I15" s="60"/>
      <c r="J15" s="60"/>
      <c r="K15" s="60"/>
      <c r="L15" s="60"/>
    </row>
    <row r="16" spans="4:12" x14ac:dyDescent="0.25">
      <c r="D16" s="60"/>
      <c r="E16" s="60"/>
      <c r="F16" s="60"/>
      <c r="G16" s="77" t="s">
        <v>345</v>
      </c>
      <c r="H16" s="60"/>
      <c r="I16" s="60"/>
      <c r="J16" s="60"/>
      <c r="K16" s="60"/>
      <c r="L16" s="60"/>
    </row>
    <row r="17" spans="2:13" ht="15.75" x14ac:dyDescent="0.25">
      <c r="D17" s="62" t="s">
        <v>346</v>
      </c>
      <c r="E17" s="62"/>
      <c r="F17" s="60"/>
      <c r="G17" s="60"/>
      <c r="H17" s="60"/>
      <c r="I17" s="60"/>
      <c r="J17" s="60"/>
      <c r="K17" s="60"/>
      <c r="L17" s="60"/>
    </row>
    <row r="18" spans="2:13" ht="15.75" thickBot="1" x14ac:dyDescent="0.3">
      <c r="D18" s="60"/>
      <c r="E18" s="60"/>
      <c r="F18" s="60"/>
      <c r="G18" s="60"/>
      <c r="H18" s="60"/>
      <c r="I18" s="60"/>
      <c r="J18" s="60"/>
      <c r="K18" s="60"/>
      <c r="L18" s="60"/>
    </row>
    <row r="19" spans="2:13" ht="15" customHeight="1" x14ac:dyDescent="0.25">
      <c r="D19" s="155" t="s">
        <v>347</v>
      </c>
      <c r="E19" s="156"/>
      <c r="F19" s="156"/>
      <c r="G19" s="157"/>
      <c r="H19" s="158"/>
      <c r="I19" s="159"/>
      <c r="J19" s="60"/>
      <c r="K19" s="60"/>
      <c r="L19" s="60"/>
    </row>
    <row r="20" spans="2:13" ht="15" customHeight="1" x14ac:dyDescent="0.25">
      <c r="D20" s="165" t="s">
        <v>348</v>
      </c>
      <c r="E20" s="166"/>
      <c r="F20" s="166"/>
      <c r="G20" s="140"/>
      <c r="H20" s="141"/>
      <c r="I20" s="142"/>
      <c r="J20" s="60"/>
      <c r="K20" s="60"/>
      <c r="L20" s="60"/>
    </row>
    <row r="21" spans="2:13" ht="15" customHeight="1" x14ac:dyDescent="0.25">
      <c r="D21" s="165" t="s">
        <v>349</v>
      </c>
      <c r="E21" s="166"/>
      <c r="F21" s="166"/>
      <c r="G21" s="140"/>
      <c r="H21" s="141"/>
      <c r="I21" s="142"/>
      <c r="J21" s="60"/>
      <c r="K21" s="60"/>
      <c r="L21" s="60"/>
    </row>
    <row r="22" spans="2:13" ht="15" customHeight="1" x14ac:dyDescent="0.25">
      <c r="D22" s="165" t="s">
        <v>350</v>
      </c>
      <c r="E22" s="166"/>
      <c r="F22" s="166"/>
      <c r="G22" s="140"/>
      <c r="H22" s="141"/>
      <c r="I22" s="142"/>
      <c r="J22" s="60"/>
      <c r="K22" s="60"/>
      <c r="L22" s="60"/>
    </row>
    <row r="23" spans="2:13" ht="15.75" customHeight="1" thickBot="1" x14ac:dyDescent="0.3">
      <c r="D23" s="160" t="s">
        <v>351</v>
      </c>
      <c r="E23" s="161"/>
      <c r="F23" s="161"/>
      <c r="G23" s="162"/>
      <c r="H23" s="163"/>
      <c r="I23" s="164"/>
      <c r="J23" s="60"/>
      <c r="K23" s="60"/>
      <c r="L23" s="60"/>
    </row>
    <row r="24" spans="2:13" ht="21.75" thickBot="1" x14ac:dyDescent="0.3">
      <c r="D24" s="63"/>
      <c r="E24" s="63"/>
      <c r="F24" s="60"/>
      <c r="G24" s="60"/>
      <c r="H24" s="60"/>
      <c r="I24" s="60"/>
      <c r="J24" s="60"/>
      <c r="K24" s="60"/>
      <c r="L24" s="60"/>
    </row>
    <row r="25" spans="2:13" ht="15.75" customHeight="1" x14ac:dyDescent="0.25">
      <c r="D25" s="143" t="s">
        <v>352</v>
      </c>
      <c r="E25" s="144"/>
      <c r="F25" s="144"/>
      <c r="G25" s="144"/>
      <c r="H25" s="144"/>
      <c r="I25" s="144"/>
      <c r="J25" s="137" t="s">
        <v>353</v>
      </c>
      <c r="K25" s="138"/>
      <c r="L25" s="138"/>
      <c r="M25" s="139"/>
    </row>
    <row r="26" spans="2:13" ht="45" x14ac:dyDescent="0.25">
      <c r="B26" s="8" t="s">
        <v>354</v>
      </c>
      <c r="C26" s="8" t="s">
        <v>25</v>
      </c>
      <c r="D26" s="99" t="s">
        <v>355</v>
      </c>
      <c r="E26" s="96" t="s">
        <v>356</v>
      </c>
      <c r="F26" s="97" t="s">
        <v>357</v>
      </c>
      <c r="G26" s="96" t="s">
        <v>358</v>
      </c>
      <c r="H26" s="97" t="s">
        <v>359</v>
      </c>
      <c r="I26" s="97" t="s">
        <v>360</v>
      </c>
      <c r="J26" s="96" t="s">
        <v>361</v>
      </c>
      <c r="K26" s="111" t="s">
        <v>362</v>
      </c>
      <c r="L26" s="111" t="s">
        <v>363</v>
      </c>
      <c r="M26" s="111" t="s">
        <v>364</v>
      </c>
    </row>
    <row r="27" spans="2:13" s="10" customFormat="1" ht="120" customHeight="1" x14ac:dyDescent="0.25">
      <c r="B27" s="10" t="str">
        <f>navn_Anskaffelseskode</f>
        <v>2301d</v>
      </c>
      <c r="C27" s="10">
        <f>navn_delleveranse</f>
        <v>0</v>
      </c>
      <c r="D27" s="100" t="s">
        <v>365</v>
      </c>
      <c r="E27" s="64" t="s">
        <v>366</v>
      </c>
      <c r="F27" s="64" t="s">
        <v>367</v>
      </c>
      <c r="G27" s="65" t="s">
        <v>368</v>
      </c>
      <c r="H27" s="66" t="s">
        <v>369</v>
      </c>
      <c r="I27" s="67"/>
      <c r="J27" s="70" t="s">
        <v>370</v>
      </c>
      <c r="K27" s="68"/>
      <c r="L27" s="69"/>
      <c r="M27" s="101"/>
    </row>
    <row r="28" spans="2:13" s="10" customFormat="1" ht="129.75" customHeight="1" x14ac:dyDescent="0.25">
      <c r="B28" s="10" t="str">
        <f>navn_Anskaffelseskode</f>
        <v>2301d</v>
      </c>
      <c r="C28" s="10">
        <f>navn_delleveranse</f>
        <v>0</v>
      </c>
      <c r="D28" s="100" t="s">
        <v>371</v>
      </c>
      <c r="E28" s="64" t="s">
        <v>366</v>
      </c>
      <c r="F28" s="64" t="s">
        <v>367</v>
      </c>
      <c r="G28" s="70" t="s">
        <v>372</v>
      </c>
      <c r="H28" s="66" t="s">
        <v>369</v>
      </c>
      <c r="I28" s="67"/>
      <c r="J28" s="70" t="s">
        <v>373</v>
      </c>
      <c r="K28" s="71"/>
      <c r="L28" s="98"/>
      <c r="M28" s="101"/>
    </row>
    <row r="29" spans="2:13" x14ac:dyDescent="0.25">
      <c r="D29" s="60"/>
      <c r="E29" s="60"/>
      <c r="F29" s="60"/>
      <c r="G29" s="60"/>
      <c r="H29" s="60"/>
      <c r="I29" s="60"/>
      <c r="J29" s="60"/>
      <c r="K29" s="60"/>
      <c r="L29" s="60"/>
    </row>
    <row r="30" spans="2:13" x14ac:dyDescent="0.25">
      <c r="D30" s="60"/>
      <c r="E30" s="60"/>
      <c r="F30" s="60"/>
      <c r="G30" s="60"/>
      <c r="H30" s="60"/>
      <c r="I30" s="60"/>
      <c r="J30" s="60"/>
      <c r="K30" s="60"/>
      <c r="L30" s="60"/>
    </row>
    <row r="31" spans="2:13" x14ac:dyDescent="0.25">
      <c r="D31" s="60"/>
      <c r="E31" s="60"/>
      <c r="F31" s="72"/>
      <c r="G31" s="60"/>
      <c r="H31" s="60"/>
      <c r="I31" s="60"/>
      <c r="J31" s="60"/>
      <c r="K31" s="60"/>
      <c r="L31" s="60"/>
    </row>
    <row r="32" spans="2:13" x14ac:dyDescent="0.25">
      <c r="D32" s="60"/>
      <c r="E32" s="60"/>
      <c r="F32" s="60"/>
      <c r="G32" s="60"/>
      <c r="H32" s="60"/>
      <c r="I32" s="60"/>
      <c r="J32" s="60"/>
      <c r="K32" s="60"/>
      <c r="L32" s="60"/>
    </row>
    <row r="33" spans="4:12" x14ac:dyDescent="0.25">
      <c r="D33" s="60"/>
      <c r="E33" s="60"/>
      <c r="F33" s="60"/>
      <c r="G33" s="60"/>
      <c r="H33" s="60"/>
      <c r="I33" s="60"/>
      <c r="J33" s="60"/>
      <c r="K33" s="60"/>
      <c r="L33" s="60"/>
    </row>
    <row r="34" spans="4:12" x14ac:dyDescent="0.25">
      <c r="D34" s="60"/>
      <c r="E34" s="60"/>
      <c r="F34" s="60"/>
      <c r="G34" s="60"/>
      <c r="H34" s="60"/>
      <c r="I34" s="60"/>
      <c r="J34" s="60"/>
      <c r="K34" s="60"/>
      <c r="L34" s="60"/>
    </row>
    <row r="35" spans="4:12" x14ac:dyDescent="0.25">
      <c r="D35" s="60"/>
      <c r="E35" s="60"/>
      <c r="F35" s="60"/>
      <c r="G35" s="60"/>
      <c r="H35" s="60"/>
      <c r="I35" s="60"/>
      <c r="J35" s="60"/>
      <c r="K35" s="60"/>
      <c r="L35" s="60"/>
    </row>
    <row r="36" spans="4:12" x14ac:dyDescent="0.25">
      <c r="D36" s="60"/>
      <c r="E36" s="60"/>
      <c r="F36" s="60"/>
      <c r="G36" s="60"/>
      <c r="H36" s="60"/>
      <c r="I36" s="60"/>
      <c r="J36" s="60"/>
      <c r="K36" s="60"/>
      <c r="L36" s="60"/>
    </row>
    <row r="37" spans="4:12" x14ac:dyDescent="0.25">
      <c r="D37" s="60"/>
      <c r="E37" s="60"/>
      <c r="F37" s="60"/>
      <c r="G37" s="60"/>
      <c r="H37" s="60"/>
      <c r="I37" s="60"/>
      <c r="J37" s="60"/>
      <c r="K37" s="60"/>
      <c r="L37" s="60"/>
    </row>
    <row r="38" spans="4:12" x14ac:dyDescent="0.25">
      <c r="D38" s="60"/>
      <c r="E38" s="60"/>
      <c r="F38" s="60"/>
      <c r="G38" s="60"/>
      <c r="H38" s="60"/>
      <c r="I38" s="60"/>
      <c r="J38" s="60"/>
      <c r="K38" s="60"/>
      <c r="L38" s="60"/>
    </row>
    <row r="39" spans="4:12" x14ac:dyDescent="0.25">
      <c r="D39" s="60"/>
      <c r="E39" s="60"/>
      <c r="F39" s="60"/>
      <c r="G39" s="60"/>
      <c r="H39" s="60"/>
      <c r="I39" s="60"/>
      <c r="J39" s="60"/>
      <c r="K39" s="60"/>
      <c r="L39" s="60"/>
    </row>
    <row r="40" spans="4:12" x14ac:dyDescent="0.25">
      <c r="D40" s="60"/>
      <c r="E40" s="60"/>
      <c r="F40" s="60"/>
      <c r="G40" s="60"/>
      <c r="H40" s="60"/>
      <c r="I40" s="60"/>
      <c r="J40" s="60"/>
      <c r="K40" s="60"/>
      <c r="L40" s="60"/>
    </row>
    <row r="41" spans="4:12" x14ac:dyDescent="0.25">
      <c r="D41" s="60"/>
      <c r="E41" s="60"/>
      <c r="F41" s="60"/>
      <c r="G41" s="60"/>
      <c r="H41" s="60"/>
      <c r="I41" s="60"/>
      <c r="J41" s="60"/>
      <c r="K41" s="60"/>
      <c r="L41" s="60"/>
    </row>
    <row r="42" spans="4:12" x14ac:dyDescent="0.25">
      <c r="D42" s="60"/>
      <c r="E42" s="60"/>
      <c r="F42" s="60"/>
      <c r="G42" s="60"/>
      <c r="H42" s="60"/>
      <c r="I42" s="60"/>
      <c r="J42" s="60"/>
      <c r="K42" s="60"/>
      <c r="L42" s="60"/>
    </row>
    <row r="43" spans="4:12" x14ac:dyDescent="0.25">
      <c r="D43" s="60"/>
      <c r="E43" s="60"/>
      <c r="F43" s="60"/>
      <c r="G43" s="60"/>
      <c r="H43" s="60"/>
      <c r="I43" s="60"/>
      <c r="J43" s="60"/>
      <c r="K43" s="60"/>
      <c r="L43" s="60"/>
    </row>
    <row r="44" spans="4:12" x14ac:dyDescent="0.25">
      <c r="D44" s="60"/>
      <c r="E44" s="60"/>
      <c r="F44" s="60"/>
      <c r="G44" s="60"/>
      <c r="H44" s="60"/>
      <c r="I44" s="60"/>
      <c r="J44" s="60"/>
      <c r="K44" s="60"/>
      <c r="L44" s="60"/>
    </row>
    <row r="45" spans="4:12" x14ac:dyDescent="0.25">
      <c r="D45" s="60"/>
      <c r="E45" s="60"/>
      <c r="F45" s="60"/>
      <c r="G45" s="60"/>
      <c r="H45" s="60"/>
      <c r="I45" s="60"/>
      <c r="J45" s="60"/>
      <c r="K45" s="60"/>
      <c r="L45" s="60"/>
    </row>
    <row r="46" spans="4:12" x14ac:dyDescent="0.25">
      <c r="D46" s="60"/>
      <c r="E46" s="60"/>
      <c r="F46" s="60"/>
      <c r="G46" s="60"/>
      <c r="H46" s="60"/>
      <c r="I46" s="60"/>
      <c r="J46" s="60"/>
      <c r="K46" s="60"/>
      <c r="L46" s="60"/>
    </row>
    <row r="47" spans="4:12" x14ac:dyDescent="0.25">
      <c r="D47" s="60"/>
      <c r="E47" s="60"/>
      <c r="F47" s="60"/>
      <c r="G47" s="60"/>
      <c r="H47" s="60"/>
      <c r="I47" s="60"/>
      <c r="J47" s="60"/>
      <c r="K47" s="60"/>
      <c r="L47" s="60"/>
    </row>
    <row r="48" spans="4:12" x14ac:dyDescent="0.25">
      <c r="D48" s="60"/>
      <c r="E48" s="60"/>
      <c r="F48" s="60"/>
      <c r="G48" s="60"/>
      <c r="H48" s="60"/>
      <c r="I48" s="60"/>
      <c r="J48" s="60"/>
      <c r="K48" s="60"/>
      <c r="L48" s="60"/>
    </row>
    <row r="49" spans="4:12" x14ac:dyDescent="0.25">
      <c r="D49" s="60"/>
      <c r="E49" s="60"/>
      <c r="F49" s="60"/>
      <c r="G49" s="60"/>
      <c r="H49" s="60"/>
      <c r="I49" s="60"/>
      <c r="J49" s="60"/>
      <c r="K49" s="60"/>
      <c r="L49" s="60"/>
    </row>
    <row r="50" spans="4:12" x14ac:dyDescent="0.25">
      <c r="D50" s="60"/>
      <c r="E50" s="60"/>
      <c r="F50" s="60"/>
      <c r="G50" s="60"/>
      <c r="H50" s="60"/>
      <c r="I50" s="60"/>
      <c r="J50" s="60"/>
      <c r="K50" s="60"/>
      <c r="L50" s="60"/>
    </row>
    <row r="51" spans="4:12" x14ac:dyDescent="0.25">
      <c r="D51" s="60"/>
      <c r="E51" s="60"/>
      <c r="F51" s="60"/>
      <c r="G51" s="60"/>
      <c r="H51" s="60"/>
      <c r="I51" s="60"/>
      <c r="J51" s="60"/>
      <c r="K51" s="60"/>
      <c r="L51" s="60"/>
    </row>
    <row r="52" spans="4:12" x14ac:dyDescent="0.25">
      <c r="D52" s="60"/>
      <c r="E52" s="60"/>
      <c r="F52" s="60"/>
      <c r="G52" s="60"/>
      <c r="H52" s="60"/>
      <c r="I52" s="60"/>
      <c r="J52" s="60"/>
      <c r="K52" s="60"/>
      <c r="L52" s="60"/>
    </row>
    <row r="53" spans="4:12" x14ac:dyDescent="0.25">
      <c r="D53" s="60"/>
      <c r="E53" s="60"/>
      <c r="F53" s="60"/>
      <c r="G53" s="60"/>
      <c r="H53" s="60"/>
      <c r="I53" s="60"/>
      <c r="J53" s="60"/>
      <c r="K53" s="60"/>
      <c r="L53" s="60"/>
    </row>
    <row r="54" spans="4:12" x14ac:dyDescent="0.25">
      <c r="D54" s="60"/>
      <c r="E54" s="60"/>
      <c r="F54" s="60"/>
      <c r="G54" s="60"/>
      <c r="H54" s="60"/>
      <c r="I54" s="60"/>
      <c r="J54" s="60"/>
      <c r="K54" s="60"/>
      <c r="L54" s="60"/>
    </row>
    <row r="55" spans="4:12" x14ac:dyDescent="0.25">
      <c r="D55" s="60"/>
      <c r="E55" s="60"/>
      <c r="F55" s="60"/>
      <c r="G55" s="60"/>
      <c r="H55" s="60"/>
      <c r="I55" s="60"/>
      <c r="J55" s="60"/>
      <c r="K55" s="60"/>
      <c r="L55" s="60"/>
    </row>
    <row r="56" spans="4:12" x14ac:dyDescent="0.25">
      <c r="D56" s="60"/>
      <c r="E56" s="60"/>
      <c r="F56" s="60"/>
      <c r="G56" s="60"/>
      <c r="H56" s="60"/>
      <c r="I56" s="60"/>
      <c r="J56" s="60"/>
      <c r="K56" s="60"/>
      <c r="L56" s="60"/>
    </row>
    <row r="57" spans="4:12" x14ac:dyDescent="0.25">
      <c r="D57" s="60"/>
      <c r="E57" s="60"/>
      <c r="F57" s="60"/>
      <c r="G57" s="60"/>
      <c r="H57" s="60"/>
      <c r="I57" s="60"/>
      <c r="J57" s="60"/>
      <c r="K57" s="60"/>
      <c r="L57" s="60"/>
    </row>
    <row r="58" spans="4:12" x14ac:dyDescent="0.25">
      <c r="D58" s="60"/>
      <c r="E58" s="60"/>
      <c r="F58" s="60"/>
      <c r="G58" s="60"/>
      <c r="H58" s="60"/>
      <c r="I58" s="60"/>
      <c r="J58" s="60"/>
      <c r="K58" s="60"/>
      <c r="L58" s="60"/>
    </row>
    <row r="59" spans="4:12" x14ac:dyDescent="0.25">
      <c r="D59" s="60"/>
      <c r="E59" s="60"/>
      <c r="F59" s="60"/>
      <c r="G59" s="60"/>
      <c r="H59" s="60"/>
      <c r="I59" s="60"/>
      <c r="J59" s="60"/>
      <c r="K59" s="60"/>
      <c r="L59" s="60"/>
    </row>
    <row r="60" spans="4:12" x14ac:dyDescent="0.25">
      <c r="D60" s="60"/>
      <c r="E60" s="60"/>
      <c r="F60" s="60"/>
      <c r="G60" s="60"/>
      <c r="H60" s="60"/>
      <c r="I60" s="60"/>
      <c r="J60" s="60"/>
      <c r="K60" s="60"/>
      <c r="L60" s="60"/>
    </row>
    <row r="61" spans="4:12" x14ac:dyDescent="0.25">
      <c r="D61" s="60"/>
      <c r="E61" s="60"/>
      <c r="F61" s="60"/>
      <c r="G61" s="60"/>
      <c r="H61" s="60"/>
      <c r="I61" s="60"/>
      <c r="J61" s="60"/>
      <c r="K61" s="60"/>
      <c r="L61" s="60"/>
    </row>
    <row r="62" spans="4:12" x14ac:dyDescent="0.25">
      <c r="D62" s="60"/>
      <c r="E62" s="60"/>
      <c r="F62" s="60"/>
      <c r="G62" s="60"/>
      <c r="H62" s="60"/>
      <c r="I62" s="60"/>
      <c r="J62" s="60"/>
      <c r="K62" s="60"/>
      <c r="L62" s="60"/>
    </row>
    <row r="63" spans="4:12" x14ac:dyDescent="0.25">
      <c r="D63" s="60"/>
      <c r="E63" s="60"/>
      <c r="F63" s="60"/>
      <c r="G63" s="60"/>
      <c r="H63" s="60"/>
      <c r="I63" s="60"/>
      <c r="J63" s="60"/>
      <c r="K63" s="60"/>
      <c r="L63" s="60"/>
    </row>
    <row r="64" spans="4:12" x14ac:dyDescent="0.25">
      <c r="D64" s="60"/>
      <c r="E64" s="60"/>
      <c r="F64" s="60"/>
      <c r="G64" s="60"/>
      <c r="H64" s="60"/>
      <c r="I64" s="60"/>
      <c r="J64" s="60"/>
      <c r="K64" s="60"/>
      <c r="L64" s="60"/>
    </row>
    <row r="65" spans="4:12" x14ac:dyDescent="0.25">
      <c r="D65" s="60"/>
      <c r="E65" s="60"/>
      <c r="F65" s="60"/>
      <c r="G65" s="60"/>
      <c r="H65" s="60"/>
      <c r="I65" s="60"/>
      <c r="J65" s="60"/>
      <c r="K65" s="60"/>
      <c r="L65" s="60"/>
    </row>
    <row r="66" spans="4:12" x14ac:dyDescent="0.25">
      <c r="D66" s="60"/>
      <c r="E66" s="60"/>
      <c r="F66" s="60"/>
      <c r="G66" s="60"/>
      <c r="H66" s="60"/>
      <c r="I66" s="60"/>
      <c r="J66" s="60"/>
      <c r="K66" s="60"/>
      <c r="L66" s="60"/>
    </row>
    <row r="67" spans="4:12" x14ac:dyDescent="0.25">
      <c r="D67" s="60"/>
      <c r="E67" s="60"/>
      <c r="F67" s="60"/>
      <c r="G67" s="60"/>
      <c r="H67" s="60"/>
      <c r="I67" s="60"/>
      <c r="J67" s="60"/>
      <c r="K67" s="60"/>
      <c r="L67" s="60"/>
    </row>
    <row r="68" spans="4:12" x14ac:dyDescent="0.25">
      <c r="D68" s="60"/>
      <c r="E68" s="60"/>
      <c r="F68" s="60"/>
      <c r="G68" s="60"/>
      <c r="H68" s="60"/>
      <c r="I68" s="60"/>
      <c r="J68" s="60"/>
      <c r="K68" s="60"/>
      <c r="L68" s="60"/>
    </row>
    <row r="69" spans="4:12" x14ac:dyDescent="0.25">
      <c r="D69" s="60"/>
      <c r="E69" s="60"/>
      <c r="F69" s="60"/>
      <c r="G69" s="60"/>
      <c r="H69" s="60"/>
      <c r="I69" s="60"/>
      <c r="J69" s="60"/>
      <c r="K69" s="60"/>
      <c r="L69" s="60"/>
    </row>
    <row r="70" spans="4:12" x14ac:dyDescent="0.25">
      <c r="D70" s="60"/>
      <c r="E70" s="60"/>
      <c r="F70" s="60"/>
      <c r="G70" s="60"/>
      <c r="H70" s="60"/>
      <c r="I70" s="60"/>
      <c r="J70" s="60"/>
      <c r="K70" s="60"/>
      <c r="L70" s="60"/>
    </row>
    <row r="71" spans="4:12" x14ac:dyDescent="0.25">
      <c r="D71" s="60"/>
      <c r="E71" s="60"/>
      <c r="F71" s="60"/>
      <c r="G71" s="60"/>
      <c r="H71" s="60"/>
      <c r="I71" s="60"/>
      <c r="J71" s="60"/>
      <c r="K71" s="60"/>
      <c r="L71" s="60"/>
    </row>
    <row r="72" spans="4:12" x14ac:dyDescent="0.25">
      <c r="D72" s="60"/>
      <c r="E72" s="60"/>
      <c r="F72" s="60"/>
      <c r="G72" s="60"/>
      <c r="H72" s="60"/>
      <c r="I72" s="60"/>
      <c r="J72" s="60"/>
      <c r="K72" s="60"/>
      <c r="L72" s="60"/>
    </row>
    <row r="73" spans="4:12" x14ac:dyDescent="0.25">
      <c r="D73" s="60"/>
      <c r="E73" s="60"/>
      <c r="F73" s="60"/>
      <c r="G73" s="60"/>
      <c r="H73" s="60"/>
      <c r="I73" s="60"/>
      <c r="J73" s="60"/>
      <c r="K73" s="60"/>
      <c r="L73" s="60"/>
    </row>
    <row r="74" spans="4:12" x14ac:dyDescent="0.25">
      <c r="D74" s="60"/>
      <c r="E74" s="60"/>
      <c r="F74" s="60"/>
      <c r="G74" s="60"/>
      <c r="H74" s="60"/>
      <c r="I74" s="60"/>
      <c r="J74" s="60"/>
      <c r="K74" s="60"/>
      <c r="L74" s="60"/>
    </row>
    <row r="75" spans="4:12" x14ac:dyDescent="0.25">
      <c r="D75" s="60"/>
      <c r="E75" s="60"/>
      <c r="F75" s="60"/>
      <c r="G75" s="60"/>
      <c r="H75" s="60"/>
      <c r="I75" s="60"/>
      <c r="J75" s="60"/>
      <c r="K75" s="60"/>
      <c r="L75" s="60"/>
    </row>
    <row r="76" spans="4:12" x14ac:dyDescent="0.25">
      <c r="D76" s="60"/>
      <c r="E76" s="60"/>
      <c r="F76" s="60"/>
      <c r="G76" s="60"/>
      <c r="H76" s="60"/>
      <c r="I76" s="60"/>
      <c r="J76" s="60"/>
      <c r="K76" s="60"/>
      <c r="L76" s="60"/>
    </row>
    <row r="77" spans="4:12" x14ac:dyDescent="0.25">
      <c r="D77" s="60"/>
      <c r="E77" s="60"/>
      <c r="F77" s="60"/>
      <c r="G77" s="60"/>
      <c r="H77" s="60"/>
      <c r="I77" s="60"/>
      <c r="J77" s="60"/>
      <c r="K77" s="60"/>
      <c r="L77" s="60"/>
    </row>
    <row r="78" spans="4:12" x14ac:dyDescent="0.25">
      <c r="D78" s="60"/>
      <c r="E78" s="60"/>
      <c r="F78" s="60"/>
      <c r="G78" s="60"/>
      <c r="H78" s="60"/>
      <c r="I78" s="60"/>
      <c r="J78" s="60"/>
      <c r="K78" s="60"/>
      <c r="L78" s="60"/>
    </row>
    <row r="79" spans="4:12" x14ac:dyDescent="0.25">
      <c r="D79" s="60"/>
      <c r="E79" s="60"/>
      <c r="F79" s="60"/>
      <c r="G79" s="60"/>
      <c r="H79" s="60"/>
      <c r="I79" s="60"/>
      <c r="J79" s="60"/>
      <c r="K79" s="60"/>
      <c r="L79" s="60"/>
    </row>
    <row r="80" spans="4:12" x14ac:dyDescent="0.25">
      <c r="D80" s="60"/>
      <c r="E80" s="60"/>
      <c r="F80" s="60"/>
      <c r="G80" s="60"/>
      <c r="H80" s="60"/>
      <c r="I80" s="60"/>
      <c r="J80" s="60"/>
      <c r="K80" s="60"/>
      <c r="L80" s="60"/>
    </row>
    <row r="81" spans="4:12" x14ac:dyDescent="0.25">
      <c r="D81" s="60"/>
      <c r="E81" s="60"/>
      <c r="F81" s="60"/>
      <c r="G81" s="60"/>
      <c r="H81" s="60"/>
      <c r="I81" s="60"/>
      <c r="J81" s="60"/>
      <c r="K81" s="60"/>
      <c r="L81" s="60"/>
    </row>
    <row r="82" spans="4:12" x14ac:dyDescent="0.25">
      <c r="D82" s="60"/>
      <c r="E82" s="60"/>
      <c r="F82" s="60"/>
      <c r="G82" s="60"/>
      <c r="H82" s="60"/>
      <c r="I82" s="60"/>
      <c r="J82" s="60"/>
      <c r="K82" s="60"/>
      <c r="L82" s="60"/>
    </row>
    <row r="83" spans="4:12" x14ac:dyDescent="0.25">
      <c r="D83" s="60"/>
      <c r="E83" s="60"/>
      <c r="F83" s="60"/>
      <c r="G83" s="60"/>
      <c r="H83" s="60"/>
      <c r="I83" s="60"/>
      <c r="J83" s="60"/>
      <c r="K83" s="60"/>
      <c r="L83" s="60"/>
    </row>
    <row r="84" spans="4:12" x14ac:dyDescent="0.25">
      <c r="D84" s="60"/>
      <c r="E84" s="60"/>
      <c r="F84" s="60"/>
      <c r="G84" s="60"/>
      <c r="H84" s="60"/>
      <c r="I84" s="60"/>
      <c r="J84" s="60"/>
      <c r="K84" s="60"/>
      <c r="L84" s="60"/>
    </row>
    <row r="85" spans="4:12" x14ac:dyDescent="0.25">
      <c r="D85" s="60"/>
      <c r="E85" s="60"/>
      <c r="F85" s="60"/>
      <c r="G85" s="60"/>
      <c r="H85" s="60"/>
      <c r="I85" s="60"/>
      <c r="J85" s="60"/>
      <c r="K85" s="60"/>
      <c r="L85" s="60"/>
    </row>
    <row r="86" spans="4:12" x14ac:dyDescent="0.25">
      <c r="D86" s="60"/>
      <c r="E86" s="60"/>
      <c r="F86" s="60"/>
      <c r="G86" s="60"/>
      <c r="H86" s="60"/>
      <c r="I86" s="60"/>
      <c r="J86" s="60"/>
      <c r="K86" s="60"/>
      <c r="L86" s="60"/>
    </row>
    <row r="87" spans="4:12" x14ac:dyDescent="0.25">
      <c r="D87" s="60"/>
      <c r="E87" s="60"/>
      <c r="F87" s="60"/>
      <c r="G87" s="60"/>
      <c r="H87" s="60"/>
      <c r="I87" s="60"/>
      <c r="J87" s="60"/>
      <c r="K87" s="60"/>
      <c r="L87" s="60"/>
    </row>
    <row r="88" spans="4:12" x14ac:dyDescent="0.25">
      <c r="D88" s="60"/>
      <c r="E88" s="60"/>
      <c r="F88" s="60"/>
      <c r="G88" s="60"/>
      <c r="H88" s="60"/>
      <c r="I88" s="60"/>
      <c r="J88" s="60"/>
      <c r="K88" s="60"/>
      <c r="L88" s="60"/>
    </row>
    <row r="89" spans="4:12" x14ac:dyDescent="0.25">
      <c r="D89" s="60"/>
      <c r="E89" s="60"/>
      <c r="F89" s="60"/>
      <c r="G89" s="60"/>
      <c r="H89" s="60"/>
      <c r="I89" s="60"/>
      <c r="J89" s="60"/>
      <c r="K89" s="60"/>
      <c r="L89" s="60"/>
    </row>
    <row r="90" spans="4:12" x14ac:dyDescent="0.25">
      <c r="D90" s="60"/>
      <c r="E90" s="60"/>
      <c r="F90" s="60"/>
      <c r="G90" s="60"/>
      <c r="H90" s="60"/>
      <c r="I90" s="60"/>
      <c r="J90" s="60"/>
      <c r="K90" s="60"/>
      <c r="L90" s="60"/>
    </row>
    <row r="91" spans="4:12" x14ac:dyDescent="0.25">
      <c r="D91" s="60"/>
      <c r="E91" s="60"/>
      <c r="F91" s="60"/>
      <c r="G91" s="60"/>
      <c r="H91" s="60"/>
      <c r="I91" s="60"/>
      <c r="J91" s="60"/>
      <c r="K91" s="60"/>
      <c r="L91" s="60"/>
    </row>
    <row r="92" spans="4:12" x14ac:dyDescent="0.25">
      <c r="D92" s="60"/>
      <c r="E92" s="60"/>
      <c r="F92" s="60"/>
      <c r="G92" s="60"/>
      <c r="H92" s="60"/>
      <c r="I92" s="60"/>
      <c r="J92" s="60"/>
      <c r="K92" s="60"/>
      <c r="L92" s="60"/>
    </row>
    <row r="93" spans="4:12" x14ac:dyDescent="0.25">
      <c r="D93" s="60"/>
      <c r="E93" s="60"/>
      <c r="F93" s="60"/>
      <c r="G93" s="60"/>
      <c r="H93" s="60"/>
      <c r="I93" s="60"/>
      <c r="J93" s="60"/>
      <c r="K93" s="60"/>
      <c r="L93" s="60"/>
    </row>
    <row r="94" spans="4:12" x14ac:dyDescent="0.25">
      <c r="D94" s="60"/>
      <c r="E94" s="60"/>
      <c r="F94" s="60"/>
      <c r="G94" s="60"/>
      <c r="H94" s="60"/>
      <c r="I94" s="60"/>
      <c r="J94" s="60"/>
      <c r="K94" s="60"/>
      <c r="L94" s="60"/>
    </row>
    <row r="95" spans="4:12" x14ac:dyDescent="0.25">
      <c r="D95" s="60"/>
      <c r="E95" s="60"/>
      <c r="F95" s="60"/>
      <c r="G95" s="60"/>
      <c r="H95" s="60"/>
      <c r="I95" s="60"/>
      <c r="J95" s="60"/>
      <c r="K95" s="60"/>
      <c r="L95" s="60"/>
    </row>
    <row r="96" spans="4:12" x14ac:dyDescent="0.25">
      <c r="D96" s="60"/>
      <c r="E96" s="60"/>
      <c r="F96" s="60"/>
      <c r="G96" s="60"/>
      <c r="H96" s="60"/>
      <c r="I96" s="60"/>
      <c r="J96" s="60"/>
      <c r="K96" s="60"/>
      <c r="L96" s="60"/>
    </row>
    <row r="97" spans="4:12" x14ac:dyDescent="0.25">
      <c r="D97" s="60"/>
      <c r="E97" s="60"/>
      <c r="F97" s="60"/>
      <c r="G97" s="60"/>
      <c r="H97" s="60"/>
      <c r="I97" s="60"/>
      <c r="J97" s="60"/>
      <c r="K97" s="60"/>
      <c r="L97" s="60"/>
    </row>
    <row r="98" spans="4:12" x14ac:dyDescent="0.25">
      <c r="D98" s="60"/>
      <c r="E98" s="60"/>
      <c r="F98" s="60"/>
      <c r="G98" s="60"/>
      <c r="H98" s="60"/>
      <c r="I98" s="60"/>
      <c r="J98" s="60"/>
      <c r="K98" s="60"/>
      <c r="L98" s="60"/>
    </row>
    <row r="99" spans="4:12" x14ac:dyDescent="0.25">
      <c r="D99" s="60"/>
      <c r="E99" s="60"/>
      <c r="F99" s="60"/>
      <c r="G99" s="60"/>
      <c r="H99" s="60"/>
      <c r="I99" s="60"/>
      <c r="J99" s="60"/>
      <c r="K99" s="60"/>
      <c r="L99" s="60"/>
    </row>
    <row r="100" spans="4:12" x14ac:dyDescent="0.25">
      <c r="D100" s="60"/>
      <c r="E100" s="60"/>
      <c r="F100" s="60"/>
      <c r="G100" s="60"/>
      <c r="H100" s="60"/>
      <c r="I100" s="60"/>
      <c r="J100" s="60"/>
      <c r="K100" s="60"/>
      <c r="L100" s="60"/>
    </row>
    <row r="101" spans="4:12" x14ac:dyDescent="0.25">
      <c r="D101" s="60"/>
      <c r="E101" s="60"/>
      <c r="F101" s="60"/>
      <c r="G101" s="60"/>
      <c r="H101" s="60"/>
      <c r="I101" s="60"/>
      <c r="J101" s="60"/>
      <c r="K101" s="60"/>
      <c r="L101" s="60"/>
    </row>
    <row r="102" spans="4:12" x14ac:dyDescent="0.25">
      <c r="D102" s="60"/>
      <c r="E102" s="60"/>
      <c r="F102" s="60"/>
      <c r="G102" s="60"/>
      <c r="H102" s="60"/>
      <c r="I102" s="60"/>
      <c r="J102" s="60"/>
      <c r="K102" s="60"/>
      <c r="L102" s="60"/>
    </row>
    <row r="103" spans="4:12" x14ac:dyDescent="0.25">
      <c r="D103" s="60"/>
      <c r="E103" s="60"/>
      <c r="F103" s="60"/>
      <c r="G103" s="60"/>
      <c r="H103" s="60"/>
      <c r="I103" s="60"/>
      <c r="J103" s="60"/>
      <c r="K103" s="60"/>
      <c r="L103" s="60"/>
    </row>
    <row r="104" spans="4:12" x14ac:dyDescent="0.25">
      <c r="D104" s="60"/>
      <c r="E104" s="60"/>
      <c r="F104" s="60"/>
      <c r="G104" s="60"/>
      <c r="H104" s="60"/>
      <c r="I104" s="60"/>
      <c r="J104" s="60"/>
      <c r="K104" s="60"/>
      <c r="L104" s="60"/>
    </row>
    <row r="105" spans="4:12" x14ac:dyDescent="0.25">
      <c r="D105" s="60"/>
      <c r="E105" s="60"/>
      <c r="F105" s="60"/>
      <c r="G105" s="60"/>
      <c r="H105" s="60"/>
      <c r="I105" s="60"/>
      <c r="J105" s="60"/>
      <c r="K105" s="60"/>
      <c r="L105" s="60"/>
    </row>
    <row r="106" spans="4:12" x14ac:dyDescent="0.25">
      <c r="D106" s="60"/>
      <c r="E106" s="60"/>
      <c r="F106" s="60"/>
      <c r="G106" s="60"/>
      <c r="H106" s="60"/>
      <c r="I106" s="60"/>
      <c r="J106" s="60"/>
      <c r="K106" s="60"/>
      <c r="L106" s="60"/>
    </row>
    <row r="107" spans="4:12" x14ac:dyDescent="0.25">
      <c r="D107" s="60"/>
      <c r="E107" s="60"/>
      <c r="F107" s="60"/>
      <c r="G107" s="60"/>
      <c r="H107" s="60"/>
      <c r="I107" s="60"/>
      <c r="J107" s="60"/>
      <c r="K107" s="60"/>
      <c r="L107" s="60"/>
    </row>
    <row r="108" spans="4:12" x14ac:dyDescent="0.25">
      <c r="D108" s="60"/>
      <c r="E108" s="60"/>
      <c r="F108" s="60"/>
      <c r="G108" s="60"/>
      <c r="H108" s="60"/>
      <c r="I108" s="60"/>
      <c r="J108" s="60"/>
      <c r="K108" s="60"/>
      <c r="L108" s="60"/>
    </row>
    <row r="109" spans="4:12" x14ac:dyDescent="0.25">
      <c r="D109" s="60"/>
      <c r="E109" s="60"/>
      <c r="F109" s="60"/>
      <c r="G109" s="60"/>
      <c r="H109" s="60"/>
      <c r="I109" s="60"/>
      <c r="J109" s="60"/>
      <c r="K109" s="60"/>
      <c r="L109" s="60"/>
    </row>
    <row r="110" spans="4:12" x14ac:dyDescent="0.25">
      <c r="D110" s="60"/>
      <c r="E110" s="60"/>
      <c r="F110" s="60"/>
      <c r="G110" s="60"/>
      <c r="H110" s="60"/>
      <c r="I110" s="60"/>
      <c r="J110" s="60"/>
      <c r="K110" s="60"/>
      <c r="L110" s="60"/>
    </row>
    <row r="111" spans="4:12" x14ac:dyDescent="0.25">
      <c r="D111" s="60"/>
      <c r="E111" s="60"/>
      <c r="F111" s="60"/>
      <c r="G111" s="60"/>
      <c r="H111" s="60"/>
      <c r="I111" s="60"/>
      <c r="J111" s="60"/>
      <c r="K111" s="60"/>
      <c r="L111" s="60"/>
    </row>
    <row r="112" spans="4:12" x14ac:dyDescent="0.25">
      <c r="D112" s="60"/>
      <c r="E112" s="60"/>
      <c r="F112" s="60"/>
      <c r="G112" s="60"/>
      <c r="H112" s="60"/>
      <c r="I112" s="60"/>
      <c r="J112" s="60"/>
      <c r="K112" s="60"/>
      <c r="L112" s="60"/>
    </row>
    <row r="113" spans="4:12" x14ac:dyDescent="0.25">
      <c r="D113" s="60"/>
      <c r="E113" s="60"/>
      <c r="F113" s="60"/>
      <c r="G113" s="60"/>
      <c r="H113" s="60"/>
      <c r="I113" s="60"/>
      <c r="J113" s="60"/>
      <c r="K113" s="60"/>
      <c r="L113" s="60"/>
    </row>
    <row r="114" spans="4:12" x14ac:dyDescent="0.25">
      <c r="D114" s="60"/>
      <c r="E114" s="60"/>
      <c r="F114" s="60"/>
      <c r="G114" s="60"/>
      <c r="H114" s="60"/>
      <c r="I114" s="60"/>
      <c r="J114" s="60"/>
      <c r="K114" s="60"/>
      <c r="L114" s="60"/>
    </row>
    <row r="115" spans="4:12" x14ac:dyDescent="0.25">
      <c r="D115" s="60"/>
      <c r="E115" s="60"/>
      <c r="F115" s="60"/>
      <c r="G115" s="60"/>
      <c r="H115" s="60"/>
      <c r="I115" s="60"/>
      <c r="J115" s="60"/>
      <c r="K115" s="60"/>
      <c r="L115" s="60"/>
    </row>
    <row r="116" spans="4:12" x14ac:dyDescent="0.25">
      <c r="D116" s="60"/>
      <c r="E116" s="60"/>
      <c r="F116" s="60"/>
      <c r="G116" s="60"/>
      <c r="H116" s="60"/>
      <c r="I116" s="60"/>
      <c r="J116" s="60"/>
      <c r="K116" s="60"/>
      <c r="L116" s="60"/>
    </row>
    <row r="117" spans="4:12" x14ac:dyDescent="0.25">
      <c r="D117" s="60"/>
      <c r="E117" s="60"/>
      <c r="F117" s="60"/>
      <c r="G117" s="60"/>
      <c r="H117" s="60"/>
      <c r="I117" s="60"/>
      <c r="J117" s="60"/>
      <c r="K117" s="60"/>
      <c r="L117" s="60"/>
    </row>
    <row r="118" spans="4:12" x14ac:dyDescent="0.25">
      <c r="D118" s="60"/>
      <c r="E118" s="60"/>
      <c r="F118" s="60"/>
      <c r="G118" s="60"/>
      <c r="H118" s="60"/>
      <c r="I118" s="60"/>
      <c r="J118" s="60"/>
      <c r="K118" s="60"/>
      <c r="L118" s="60"/>
    </row>
    <row r="119" spans="4:12" x14ac:dyDescent="0.25">
      <c r="D119" s="60"/>
      <c r="E119" s="60"/>
      <c r="F119" s="60"/>
      <c r="G119" s="60"/>
      <c r="H119" s="60"/>
      <c r="I119" s="60"/>
      <c r="J119" s="60"/>
      <c r="K119" s="60"/>
      <c r="L119" s="60"/>
    </row>
    <row r="120" spans="4:12" x14ac:dyDescent="0.25">
      <c r="D120" s="60"/>
      <c r="E120" s="60"/>
      <c r="F120" s="60"/>
      <c r="G120" s="60"/>
      <c r="H120" s="60"/>
      <c r="I120" s="60"/>
      <c r="J120" s="60"/>
      <c r="K120" s="60"/>
      <c r="L120" s="60"/>
    </row>
    <row r="121" spans="4:12" x14ac:dyDescent="0.25">
      <c r="D121" s="60"/>
      <c r="E121" s="60"/>
      <c r="F121" s="60"/>
      <c r="G121" s="60"/>
      <c r="H121" s="60"/>
      <c r="I121" s="60"/>
      <c r="J121" s="60"/>
      <c r="K121" s="60"/>
      <c r="L121" s="60"/>
    </row>
    <row r="122" spans="4:12" x14ac:dyDescent="0.25">
      <c r="D122" s="60"/>
      <c r="E122" s="60"/>
      <c r="F122" s="60"/>
      <c r="G122" s="60"/>
      <c r="H122" s="60"/>
      <c r="I122" s="60"/>
      <c r="J122" s="60"/>
      <c r="K122" s="60"/>
      <c r="L122" s="60"/>
    </row>
    <row r="123" spans="4:12" x14ac:dyDescent="0.25">
      <c r="D123" s="60"/>
      <c r="E123" s="60"/>
      <c r="F123" s="60"/>
      <c r="G123" s="60"/>
      <c r="H123" s="60"/>
      <c r="I123" s="60"/>
      <c r="J123" s="60"/>
      <c r="K123" s="60"/>
      <c r="L123" s="60"/>
    </row>
    <row r="124" spans="4:12" x14ac:dyDescent="0.25">
      <c r="D124" s="60"/>
      <c r="E124" s="60"/>
      <c r="F124" s="60"/>
      <c r="G124" s="60"/>
      <c r="H124" s="60"/>
      <c r="I124" s="60"/>
      <c r="J124" s="60"/>
      <c r="K124" s="60"/>
      <c r="L124" s="60"/>
    </row>
    <row r="125" spans="4:12" x14ac:dyDescent="0.25">
      <c r="D125" s="60"/>
      <c r="E125" s="60"/>
      <c r="F125" s="60"/>
      <c r="G125" s="60"/>
      <c r="H125" s="60"/>
      <c r="I125" s="60"/>
      <c r="J125" s="60"/>
      <c r="K125" s="60"/>
      <c r="L125" s="60"/>
    </row>
    <row r="126" spans="4:12" x14ac:dyDescent="0.25">
      <c r="D126" s="60"/>
      <c r="E126" s="60"/>
      <c r="F126" s="60"/>
      <c r="G126" s="60"/>
      <c r="H126" s="60"/>
      <c r="I126" s="60"/>
      <c r="J126" s="60"/>
      <c r="K126" s="60"/>
      <c r="L126" s="60"/>
    </row>
    <row r="127" spans="4:12" x14ac:dyDescent="0.25">
      <c r="D127" s="60"/>
      <c r="E127" s="60"/>
      <c r="F127" s="60"/>
      <c r="G127" s="60"/>
      <c r="H127" s="60"/>
      <c r="I127" s="60"/>
      <c r="J127" s="60"/>
      <c r="K127" s="60"/>
      <c r="L127" s="60"/>
    </row>
    <row r="128" spans="4:12" x14ac:dyDescent="0.25">
      <c r="D128" s="60"/>
      <c r="E128" s="60"/>
      <c r="F128" s="60"/>
      <c r="G128" s="60"/>
      <c r="H128" s="60"/>
      <c r="I128" s="60"/>
      <c r="J128" s="60"/>
      <c r="K128" s="60"/>
      <c r="L128" s="60"/>
    </row>
    <row r="129" spans="4:12" x14ac:dyDescent="0.25">
      <c r="D129" s="60"/>
      <c r="E129" s="60"/>
      <c r="F129" s="60"/>
      <c r="G129" s="60"/>
      <c r="H129" s="60"/>
      <c r="I129" s="60"/>
      <c r="J129" s="60"/>
      <c r="K129" s="60"/>
      <c r="L129" s="60"/>
    </row>
    <row r="130" spans="4:12" x14ac:dyDescent="0.25">
      <c r="D130" s="60"/>
      <c r="E130" s="60"/>
      <c r="F130" s="60"/>
      <c r="G130" s="60"/>
      <c r="H130" s="60"/>
      <c r="I130" s="60"/>
      <c r="J130" s="60"/>
      <c r="K130" s="60"/>
      <c r="L130" s="60"/>
    </row>
    <row r="131" spans="4:12" x14ac:dyDescent="0.25">
      <c r="D131" s="60"/>
      <c r="E131" s="60"/>
      <c r="F131" s="60"/>
      <c r="G131" s="60"/>
      <c r="H131" s="60"/>
      <c r="I131" s="60"/>
      <c r="J131" s="60"/>
      <c r="K131" s="60"/>
      <c r="L131" s="60"/>
    </row>
    <row r="132" spans="4:12" x14ac:dyDescent="0.25">
      <c r="D132" s="60"/>
      <c r="E132" s="60"/>
      <c r="F132" s="60"/>
      <c r="G132" s="60"/>
      <c r="H132" s="60"/>
      <c r="I132" s="60"/>
      <c r="J132" s="60"/>
      <c r="K132" s="60"/>
      <c r="L132" s="60"/>
    </row>
    <row r="133" spans="4:12" x14ac:dyDescent="0.25">
      <c r="D133" s="60"/>
      <c r="E133" s="60"/>
      <c r="F133" s="60"/>
      <c r="G133" s="60"/>
      <c r="H133" s="60"/>
      <c r="I133" s="60"/>
      <c r="J133" s="60"/>
      <c r="K133" s="60"/>
      <c r="L133" s="60"/>
    </row>
    <row r="134" spans="4:12" x14ac:dyDescent="0.25">
      <c r="D134" s="60"/>
      <c r="E134" s="60"/>
      <c r="F134" s="60"/>
      <c r="G134" s="60"/>
      <c r="H134" s="60"/>
      <c r="I134" s="60"/>
      <c r="J134" s="60"/>
      <c r="K134" s="60"/>
      <c r="L134" s="60"/>
    </row>
    <row r="135" spans="4:12" x14ac:dyDescent="0.25">
      <c r="D135" s="60"/>
      <c r="E135" s="60"/>
      <c r="F135" s="60"/>
      <c r="G135" s="60"/>
      <c r="H135" s="60"/>
      <c r="I135" s="60"/>
      <c r="J135" s="60"/>
      <c r="K135" s="60"/>
      <c r="L135" s="60"/>
    </row>
    <row r="136" spans="4:12" x14ac:dyDescent="0.25">
      <c r="D136" s="60"/>
      <c r="E136" s="60"/>
      <c r="F136" s="60"/>
      <c r="G136" s="60"/>
      <c r="H136" s="60"/>
      <c r="I136" s="60"/>
      <c r="J136" s="60"/>
      <c r="K136" s="60"/>
      <c r="L136" s="60"/>
    </row>
    <row r="137" spans="4:12" x14ac:dyDescent="0.25">
      <c r="D137" s="60"/>
      <c r="E137" s="60"/>
      <c r="F137" s="60"/>
      <c r="G137" s="60"/>
      <c r="H137" s="60"/>
      <c r="I137" s="60"/>
      <c r="J137" s="60"/>
      <c r="K137" s="60"/>
      <c r="L137" s="60"/>
    </row>
    <row r="138" spans="4:12" x14ac:dyDescent="0.25">
      <c r="D138" s="60"/>
      <c r="E138" s="60"/>
      <c r="F138" s="60"/>
      <c r="G138" s="60"/>
      <c r="H138" s="60"/>
      <c r="I138" s="60"/>
      <c r="J138" s="60"/>
      <c r="K138" s="60"/>
      <c r="L138" s="60"/>
    </row>
    <row r="139" spans="4:12" x14ac:dyDescent="0.25">
      <c r="D139" s="60"/>
      <c r="E139" s="60"/>
      <c r="F139" s="60"/>
      <c r="G139" s="60"/>
      <c r="H139" s="60"/>
      <c r="I139" s="60"/>
      <c r="J139" s="60"/>
      <c r="K139" s="60"/>
      <c r="L139" s="60"/>
    </row>
    <row r="140" spans="4:12" x14ac:dyDescent="0.25">
      <c r="D140" s="60"/>
      <c r="E140" s="60"/>
      <c r="F140" s="60"/>
      <c r="G140" s="60"/>
      <c r="H140" s="60"/>
      <c r="I140" s="60"/>
      <c r="J140" s="60"/>
      <c r="K140" s="60"/>
      <c r="L140" s="60"/>
    </row>
    <row r="141" spans="4:12" x14ac:dyDescent="0.25">
      <c r="D141" s="60"/>
      <c r="E141" s="60"/>
      <c r="F141" s="60"/>
      <c r="G141" s="60"/>
      <c r="H141" s="60"/>
      <c r="I141" s="60"/>
      <c r="J141" s="60"/>
      <c r="K141" s="60"/>
      <c r="L141" s="60"/>
    </row>
    <row r="142" spans="4:12" x14ac:dyDescent="0.25">
      <c r="D142" s="60"/>
      <c r="E142" s="60"/>
      <c r="F142" s="60"/>
      <c r="G142" s="60"/>
      <c r="H142" s="60"/>
      <c r="I142" s="60"/>
      <c r="J142" s="60"/>
      <c r="K142" s="60"/>
      <c r="L142" s="60"/>
    </row>
    <row r="143" spans="4:12" x14ac:dyDescent="0.25">
      <c r="D143" s="60"/>
      <c r="E143" s="60"/>
      <c r="F143" s="60"/>
      <c r="G143" s="60"/>
      <c r="H143" s="60"/>
      <c r="I143" s="60"/>
      <c r="J143" s="60"/>
      <c r="K143" s="60"/>
      <c r="L143" s="60"/>
    </row>
    <row r="144" spans="4:12" x14ac:dyDescent="0.25">
      <c r="D144" s="60"/>
      <c r="E144" s="60"/>
      <c r="F144" s="60"/>
      <c r="G144" s="60"/>
      <c r="H144" s="60"/>
      <c r="I144" s="60"/>
      <c r="J144" s="60"/>
      <c r="K144" s="60"/>
      <c r="L144" s="60"/>
    </row>
    <row r="145" spans="4:12" x14ac:dyDescent="0.25">
      <c r="D145" s="60"/>
      <c r="E145" s="60"/>
      <c r="F145" s="60"/>
      <c r="G145" s="60"/>
      <c r="H145" s="60"/>
      <c r="I145" s="60"/>
      <c r="J145" s="60"/>
      <c r="K145" s="60"/>
      <c r="L145" s="60"/>
    </row>
    <row r="146" spans="4:12" x14ac:dyDescent="0.25">
      <c r="D146" s="60"/>
      <c r="E146" s="60"/>
      <c r="F146" s="60"/>
      <c r="G146" s="60"/>
      <c r="H146" s="60"/>
      <c r="I146" s="60"/>
      <c r="J146" s="60"/>
      <c r="K146" s="60"/>
      <c r="L146" s="60"/>
    </row>
    <row r="147" spans="4:12" x14ac:dyDescent="0.25">
      <c r="D147" s="60"/>
      <c r="E147" s="60"/>
      <c r="F147" s="60"/>
      <c r="G147" s="60"/>
      <c r="H147" s="60"/>
      <c r="I147" s="60"/>
      <c r="J147" s="60"/>
      <c r="K147" s="60"/>
      <c r="L147" s="60"/>
    </row>
    <row r="148" spans="4:12" x14ac:dyDescent="0.25">
      <c r="D148" s="60"/>
      <c r="E148" s="60"/>
      <c r="F148" s="60"/>
      <c r="G148" s="60"/>
      <c r="H148" s="60"/>
      <c r="I148" s="60"/>
      <c r="J148" s="60"/>
      <c r="K148" s="60"/>
      <c r="L148" s="60"/>
    </row>
    <row r="149" spans="4:12" x14ac:dyDescent="0.25">
      <c r="D149" s="60"/>
      <c r="E149" s="60"/>
      <c r="F149" s="60"/>
      <c r="G149" s="60"/>
      <c r="H149" s="60"/>
      <c r="I149" s="60"/>
      <c r="J149" s="60"/>
      <c r="K149" s="60"/>
      <c r="L149" s="60"/>
    </row>
    <row r="150" spans="4:12" x14ac:dyDescent="0.25">
      <c r="D150" s="60"/>
      <c r="E150" s="60"/>
      <c r="F150" s="60"/>
      <c r="G150" s="60"/>
      <c r="H150" s="60"/>
      <c r="I150" s="60"/>
      <c r="J150" s="60"/>
      <c r="K150" s="60"/>
      <c r="L150" s="60"/>
    </row>
    <row r="151" spans="4:12" x14ac:dyDescent="0.25">
      <c r="D151" s="60"/>
      <c r="E151" s="60"/>
      <c r="F151" s="60"/>
      <c r="G151" s="60"/>
      <c r="H151" s="60"/>
      <c r="I151" s="60"/>
      <c r="J151" s="60"/>
      <c r="K151" s="60"/>
      <c r="L151" s="60"/>
    </row>
    <row r="152" spans="4:12" x14ac:dyDescent="0.25">
      <c r="D152" s="60"/>
      <c r="E152" s="60"/>
      <c r="F152" s="60"/>
      <c r="G152" s="60"/>
      <c r="H152" s="60"/>
      <c r="I152" s="60"/>
      <c r="J152" s="60"/>
      <c r="K152" s="60"/>
      <c r="L152" s="60"/>
    </row>
    <row r="153" spans="4:12" x14ac:dyDescent="0.25">
      <c r="D153" s="60"/>
      <c r="E153" s="60"/>
      <c r="F153" s="60"/>
      <c r="G153" s="60"/>
      <c r="H153" s="60"/>
      <c r="I153" s="60"/>
      <c r="J153" s="60"/>
      <c r="K153" s="60"/>
      <c r="L153" s="60"/>
    </row>
    <row r="154" spans="4:12" x14ac:dyDescent="0.25">
      <c r="D154" s="60"/>
      <c r="E154" s="60"/>
      <c r="F154" s="60"/>
      <c r="G154" s="60"/>
      <c r="H154" s="60"/>
      <c r="I154" s="60"/>
      <c r="J154" s="60"/>
      <c r="K154" s="60"/>
      <c r="L154" s="60"/>
    </row>
    <row r="155" spans="4:12" x14ac:dyDescent="0.25">
      <c r="D155" s="60"/>
      <c r="E155" s="60"/>
      <c r="F155" s="60"/>
      <c r="G155" s="60"/>
      <c r="H155" s="60"/>
      <c r="I155" s="60"/>
      <c r="J155" s="60"/>
      <c r="K155" s="60"/>
      <c r="L155" s="60"/>
    </row>
    <row r="156" spans="4:12" x14ac:dyDescent="0.25">
      <c r="D156" s="60"/>
      <c r="E156" s="60"/>
      <c r="F156" s="60"/>
      <c r="G156" s="60"/>
      <c r="H156" s="60"/>
      <c r="I156" s="60"/>
      <c r="J156" s="60"/>
      <c r="K156" s="60"/>
      <c r="L156" s="60"/>
    </row>
    <row r="157" spans="4:12" x14ac:dyDescent="0.25">
      <c r="D157" s="60"/>
      <c r="E157" s="60"/>
      <c r="F157" s="60"/>
      <c r="G157" s="60"/>
      <c r="H157" s="60"/>
      <c r="I157" s="60"/>
      <c r="J157" s="60"/>
      <c r="K157" s="60"/>
      <c r="L157" s="60"/>
    </row>
    <row r="158" spans="4:12" x14ac:dyDescent="0.25">
      <c r="D158" s="60"/>
      <c r="E158" s="60"/>
      <c r="F158" s="60"/>
      <c r="G158" s="60"/>
      <c r="H158" s="60"/>
      <c r="I158" s="60"/>
      <c r="J158" s="60"/>
      <c r="K158" s="60"/>
      <c r="L158" s="60"/>
    </row>
    <row r="159" spans="4:12" x14ac:dyDescent="0.25">
      <c r="D159" s="60"/>
      <c r="E159" s="60"/>
      <c r="F159" s="60"/>
      <c r="G159" s="60"/>
      <c r="H159" s="60"/>
      <c r="I159" s="60"/>
      <c r="J159" s="60"/>
      <c r="K159" s="60"/>
      <c r="L159" s="60"/>
    </row>
    <row r="160" spans="4:12" x14ac:dyDescent="0.25">
      <c r="D160" s="60"/>
      <c r="E160" s="60"/>
      <c r="F160" s="60"/>
      <c r="G160" s="60"/>
      <c r="H160" s="60"/>
      <c r="I160" s="60"/>
      <c r="J160" s="60"/>
      <c r="K160" s="60"/>
      <c r="L160" s="60"/>
    </row>
    <row r="161" spans="4:12" x14ac:dyDescent="0.25">
      <c r="D161" s="60"/>
      <c r="E161" s="60"/>
      <c r="F161" s="60"/>
      <c r="G161" s="60"/>
      <c r="H161" s="60"/>
      <c r="I161" s="60"/>
      <c r="J161" s="60"/>
      <c r="K161" s="60"/>
      <c r="L161" s="60"/>
    </row>
    <row r="162" spans="4:12" x14ac:dyDescent="0.25">
      <c r="D162" s="60"/>
      <c r="E162" s="60"/>
      <c r="F162" s="60"/>
      <c r="G162" s="60"/>
      <c r="H162" s="60"/>
      <c r="I162" s="60"/>
      <c r="J162" s="60"/>
      <c r="K162" s="60"/>
      <c r="L162" s="60"/>
    </row>
    <row r="163" spans="4:12" x14ac:dyDescent="0.25">
      <c r="D163" s="60"/>
      <c r="E163" s="60"/>
      <c r="F163" s="60"/>
      <c r="G163" s="60"/>
      <c r="H163" s="60"/>
      <c r="I163" s="60"/>
      <c r="J163" s="60"/>
      <c r="K163" s="60"/>
      <c r="L163" s="60"/>
    </row>
    <row r="164" spans="4:12" x14ac:dyDescent="0.25">
      <c r="D164" s="60"/>
      <c r="E164" s="60"/>
      <c r="F164" s="60"/>
      <c r="G164" s="60"/>
      <c r="H164" s="60"/>
      <c r="I164" s="60"/>
      <c r="J164" s="60"/>
      <c r="K164" s="60"/>
      <c r="L164" s="60"/>
    </row>
    <row r="165" spans="4:12" x14ac:dyDescent="0.25">
      <c r="D165" s="60"/>
      <c r="E165" s="60"/>
      <c r="F165" s="60"/>
      <c r="G165" s="60"/>
      <c r="H165" s="60"/>
      <c r="I165" s="60"/>
      <c r="J165" s="60"/>
      <c r="K165" s="60"/>
      <c r="L165" s="60"/>
    </row>
    <row r="166" spans="4:12" x14ac:dyDescent="0.25">
      <c r="D166" s="60"/>
      <c r="E166" s="60"/>
      <c r="F166" s="60"/>
      <c r="G166" s="60"/>
      <c r="H166" s="60"/>
      <c r="I166" s="60"/>
      <c r="J166" s="60"/>
      <c r="K166" s="60"/>
      <c r="L166" s="60"/>
    </row>
    <row r="167" spans="4:12" x14ac:dyDescent="0.25">
      <c r="D167" s="60"/>
      <c r="E167" s="60"/>
      <c r="F167" s="60"/>
      <c r="G167" s="60"/>
      <c r="H167" s="60"/>
      <c r="I167" s="60"/>
      <c r="J167" s="60"/>
      <c r="K167" s="60"/>
      <c r="L167" s="60"/>
    </row>
    <row r="168" spans="4:12" x14ac:dyDescent="0.25">
      <c r="D168" s="60"/>
      <c r="E168" s="60"/>
      <c r="F168" s="60"/>
      <c r="G168" s="60"/>
      <c r="H168" s="60"/>
      <c r="I168" s="60"/>
      <c r="J168" s="60"/>
      <c r="K168" s="60"/>
      <c r="L168" s="60"/>
    </row>
    <row r="169" spans="4:12" x14ac:dyDescent="0.25">
      <c r="D169" s="60"/>
      <c r="E169" s="60"/>
      <c r="F169" s="60"/>
      <c r="G169" s="60"/>
      <c r="H169" s="60"/>
      <c r="I169" s="60"/>
      <c r="J169" s="60"/>
      <c r="K169" s="60"/>
      <c r="L169" s="60"/>
    </row>
    <row r="170" spans="4:12" x14ac:dyDescent="0.25">
      <c r="D170" s="60"/>
      <c r="E170" s="60"/>
      <c r="F170" s="60"/>
      <c r="G170" s="60"/>
      <c r="H170" s="60"/>
      <c r="I170" s="60"/>
      <c r="J170" s="60"/>
      <c r="K170" s="60"/>
      <c r="L170" s="60"/>
    </row>
    <row r="171" spans="4:12" x14ac:dyDescent="0.25">
      <c r="D171" s="60"/>
      <c r="E171" s="60"/>
      <c r="F171" s="60"/>
      <c r="G171" s="60"/>
      <c r="H171" s="60"/>
      <c r="I171" s="60"/>
      <c r="J171" s="60"/>
      <c r="K171" s="60"/>
      <c r="L171" s="60"/>
    </row>
    <row r="172" spans="4:12" x14ac:dyDescent="0.25">
      <c r="D172" s="60"/>
      <c r="E172" s="60"/>
      <c r="F172" s="60"/>
      <c r="G172" s="60"/>
      <c r="H172" s="60"/>
      <c r="I172" s="60"/>
      <c r="J172" s="60"/>
      <c r="K172" s="60"/>
      <c r="L172" s="60"/>
    </row>
    <row r="173" spans="4:12" x14ac:dyDescent="0.25">
      <c r="D173" s="60"/>
      <c r="E173" s="60"/>
      <c r="F173" s="60"/>
      <c r="G173" s="60"/>
      <c r="H173" s="60"/>
      <c r="I173" s="60"/>
      <c r="J173" s="60"/>
      <c r="K173" s="60"/>
      <c r="L173" s="60"/>
    </row>
    <row r="174" spans="4:12" x14ac:dyDescent="0.25">
      <c r="D174" s="60"/>
      <c r="E174" s="60"/>
      <c r="F174" s="60"/>
      <c r="G174" s="60"/>
      <c r="H174" s="60"/>
      <c r="I174" s="60"/>
      <c r="J174" s="60"/>
      <c r="K174" s="60"/>
      <c r="L174" s="60"/>
    </row>
    <row r="175" spans="4:12" x14ac:dyDescent="0.25">
      <c r="D175" s="60"/>
      <c r="E175" s="60"/>
      <c r="F175" s="60"/>
      <c r="G175" s="60"/>
      <c r="H175" s="60"/>
      <c r="I175" s="60"/>
      <c r="J175" s="60"/>
      <c r="K175" s="60"/>
      <c r="L175" s="60"/>
    </row>
    <row r="176" spans="4:12" x14ac:dyDescent="0.25">
      <c r="D176" s="60"/>
      <c r="E176" s="60"/>
      <c r="F176" s="60"/>
      <c r="G176" s="60"/>
      <c r="H176" s="60"/>
      <c r="I176" s="60"/>
      <c r="J176" s="60"/>
      <c r="K176" s="60"/>
      <c r="L176" s="60"/>
    </row>
    <row r="177" spans="4:12" x14ac:dyDescent="0.25">
      <c r="D177" s="60"/>
      <c r="E177" s="60"/>
      <c r="F177" s="60"/>
      <c r="G177" s="60"/>
      <c r="H177" s="60"/>
      <c r="I177" s="60"/>
      <c r="J177" s="60"/>
      <c r="K177" s="60"/>
      <c r="L177" s="60"/>
    </row>
    <row r="178" spans="4:12" x14ac:dyDescent="0.25">
      <c r="D178" s="60"/>
      <c r="E178" s="60"/>
      <c r="F178" s="60"/>
      <c r="G178" s="60"/>
      <c r="H178" s="60"/>
      <c r="I178" s="60"/>
      <c r="J178" s="60"/>
      <c r="K178" s="60"/>
      <c r="L178" s="60"/>
    </row>
    <row r="179" spans="4:12" x14ac:dyDescent="0.25">
      <c r="D179" s="60"/>
      <c r="E179" s="60"/>
      <c r="F179" s="60"/>
      <c r="G179" s="60"/>
      <c r="H179" s="60"/>
      <c r="I179" s="60"/>
      <c r="J179" s="60"/>
      <c r="K179" s="60"/>
      <c r="L179" s="60"/>
    </row>
    <row r="180" spans="4:12" x14ac:dyDescent="0.25">
      <c r="D180" s="60"/>
      <c r="E180" s="60"/>
      <c r="F180" s="60"/>
      <c r="G180" s="60"/>
      <c r="H180" s="60"/>
      <c r="I180" s="60"/>
      <c r="J180" s="60"/>
      <c r="K180" s="60"/>
      <c r="L180" s="60"/>
    </row>
    <row r="181" spans="4:12" x14ac:dyDescent="0.25">
      <c r="D181" s="60"/>
      <c r="E181" s="60"/>
      <c r="F181" s="60"/>
      <c r="G181" s="60"/>
      <c r="H181" s="60"/>
      <c r="I181" s="60"/>
      <c r="J181" s="60"/>
      <c r="K181" s="60"/>
      <c r="L181" s="60"/>
    </row>
    <row r="182" spans="4:12" x14ac:dyDescent="0.25">
      <c r="D182" s="60"/>
      <c r="E182" s="60"/>
      <c r="F182" s="60"/>
      <c r="G182" s="60"/>
      <c r="H182" s="60"/>
      <c r="I182" s="60"/>
      <c r="J182" s="60"/>
      <c r="K182" s="60"/>
      <c r="L182" s="60"/>
    </row>
    <row r="183" spans="4:12" x14ac:dyDescent="0.25">
      <c r="D183" s="60"/>
      <c r="E183" s="60"/>
      <c r="F183" s="60"/>
      <c r="G183" s="60"/>
      <c r="H183" s="60"/>
      <c r="I183" s="60"/>
      <c r="J183" s="60"/>
      <c r="K183" s="60"/>
      <c r="L183" s="60"/>
    </row>
    <row r="184" spans="4:12" x14ac:dyDescent="0.25">
      <c r="D184" s="60"/>
      <c r="E184" s="60"/>
      <c r="F184" s="60"/>
      <c r="G184" s="60"/>
      <c r="H184" s="60"/>
      <c r="I184" s="60"/>
      <c r="J184" s="60"/>
      <c r="K184" s="60"/>
      <c r="L184" s="60"/>
    </row>
    <row r="185" spans="4:12" x14ac:dyDescent="0.25">
      <c r="D185" s="60"/>
      <c r="E185" s="60"/>
      <c r="F185" s="60"/>
      <c r="G185" s="60"/>
      <c r="H185" s="60"/>
      <c r="I185" s="60"/>
      <c r="J185" s="60"/>
      <c r="K185" s="60"/>
      <c r="L185" s="60"/>
    </row>
    <row r="186" spans="4:12" x14ac:dyDescent="0.25">
      <c r="D186" s="60"/>
      <c r="E186" s="60"/>
      <c r="F186" s="60"/>
      <c r="G186" s="60"/>
      <c r="H186" s="60"/>
      <c r="I186" s="60"/>
      <c r="J186" s="60"/>
      <c r="K186" s="60"/>
      <c r="L186" s="60"/>
    </row>
    <row r="187" spans="4:12" x14ac:dyDescent="0.25">
      <c r="D187" s="60"/>
      <c r="E187" s="60"/>
      <c r="F187" s="60"/>
      <c r="G187" s="60"/>
      <c r="H187" s="60"/>
      <c r="I187" s="60"/>
      <c r="J187" s="60"/>
      <c r="K187" s="60"/>
      <c r="L187" s="60"/>
    </row>
    <row r="188" spans="4:12" x14ac:dyDescent="0.25">
      <c r="D188" s="60"/>
      <c r="E188" s="60"/>
      <c r="F188" s="60"/>
      <c r="G188" s="60"/>
      <c r="H188" s="60"/>
      <c r="I188" s="60"/>
      <c r="J188" s="60"/>
      <c r="K188" s="60"/>
      <c r="L188" s="60"/>
    </row>
    <row r="189" spans="4:12" x14ac:dyDescent="0.25">
      <c r="D189" s="60"/>
      <c r="E189" s="60"/>
      <c r="F189" s="60"/>
      <c r="G189" s="60"/>
      <c r="H189" s="60"/>
      <c r="I189" s="60"/>
      <c r="J189" s="60"/>
      <c r="K189" s="60"/>
      <c r="L189" s="60"/>
    </row>
    <row r="190" spans="4:12" x14ac:dyDescent="0.25">
      <c r="D190" s="60"/>
      <c r="E190" s="60"/>
      <c r="F190" s="60"/>
      <c r="G190" s="60"/>
      <c r="H190" s="60"/>
      <c r="I190" s="60"/>
      <c r="J190" s="60"/>
      <c r="K190" s="60"/>
      <c r="L190" s="60"/>
    </row>
    <row r="191" spans="4:12" x14ac:dyDescent="0.25">
      <c r="D191" s="60"/>
      <c r="E191" s="60"/>
      <c r="F191" s="60"/>
      <c r="G191" s="60"/>
      <c r="H191" s="60"/>
      <c r="I191" s="60"/>
      <c r="J191" s="60"/>
      <c r="K191" s="60"/>
      <c r="L191" s="60"/>
    </row>
    <row r="192" spans="4:12" x14ac:dyDescent="0.25">
      <c r="D192" s="60"/>
      <c r="E192" s="60"/>
      <c r="F192" s="60"/>
      <c r="G192" s="60"/>
      <c r="H192" s="60"/>
      <c r="I192" s="60"/>
      <c r="J192" s="60"/>
      <c r="K192" s="60"/>
      <c r="L192" s="60"/>
    </row>
    <row r="193" spans="4:12" x14ac:dyDescent="0.25">
      <c r="D193" s="60"/>
      <c r="E193" s="60"/>
      <c r="F193" s="60"/>
      <c r="G193" s="60"/>
      <c r="H193" s="60"/>
      <c r="I193" s="60"/>
      <c r="J193" s="60"/>
      <c r="K193" s="60"/>
      <c r="L193" s="60"/>
    </row>
    <row r="194" spans="4:12" x14ac:dyDescent="0.25">
      <c r="D194" s="60"/>
      <c r="E194" s="60"/>
      <c r="F194" s="60"/>
      <c r="G194" s="60"/>
      <c r="H194" s="60"/>
      <c r="I194" s="60"/>
      <c r="J194" s="60"/>
      <c r="K194" s="60"/>
      <c r="L194" s="60"/>
    </row>
    <row r="195" spans="4:12" x14ac:dyDescent="0.25">
      <c r="D195" s="60"/>
      <c r="E195" s="60"/>
      <c r="F195" s="60"/>
      <c r="G195" s="60"/>
      <c r="H195" s="60"/>
      <c r="I195" s="60"/>
      <c r="J195" s="60"/>
      <c r="K195" s="60"/>
      <c r="L195" s="60"/>
    </row>
    <row r="196" spans="4:12" x14ac:dyDescent="0.25">
      <c r="D196" s="60"/>
      <c r="E196" s="60"/>
      <c r="F196" s="60"/>
      <c r="G196" s="60"/>
      <c r="H196" s="60"/>
      <c r="I196" s="60"/>
      <c r="J196" s="60"/>
      <c r="K196" s="60"/>
      <c r="L196" s="60"/>
    </row>
    <row r="197" spans="4:12" x14ac:dyDescent="0.25">
      <c r="D197" s="60"/>
      <c r="E197" s="60"/>
      <c r="F197" s="60"/>
      <c r="G197" s="60"/>
      <c r="H197" s="60"/>
      <c r="I197" s="60"/>
      <c r="J197" s="60"/>
      <c r="K197" s="60"/>
      <c r="L197" s="60"/>
    </row>
    <row r="198" spans="4:12" x14ac:dyDescent="0.25">
      <c r="D198" s="60"/>
      <c r="E198" s="60"/>
      <c r="F198" s="60"/>
      <c r="G198" s="60"/>
      <c r="H198" s="60"/>
      <c r="I198" s="60"/>
      <c r="J198" s="60"/>
      <c r="K198" s="60"/>
      <c r="L198" s="60"/>
    </row>
    <row r="199" spans="4:12" x14ac:dyDescent="0.25">
      <c r="D199" s="60"/>
      <c r="E199" s="60"/>
      <c r="F199" s="60"/>
      <c r="G199" s="60"/>
      <c r="H199" s="60"/>
      <c r="I199" s="60"/>
      <c r="J199" s="60"/>
      <c r="K199" s="60"/>
      <c r="L199" s="60"/>
    </row>
    <row r="200" spans="4:12" x14ac:dyDescent="0.25">
      <c r="D200" s="60"/>
      <c r="E200" s="60"/>
      <c r="F200" s="60"/>
      <c r="G200" s="60"/>
      <c r="H200" s="60"/>
      <c r="I200" s="60"/>
      <c r="J200" s="60"/>
      <c r="K200" s="60"/>
      <c r="L200" s="60"/>
    </row>
    <row r="201" spans="4:12" x14ac:dyDescent="0.25">
      <c r="D201" s="60"/>
      <c r="E201" s="60"/>
      <c r="F201" s="60"/>
      <c r="G201" s="60"/>
      <c r="H201" s="60"/>
      <c r="I201" s="60"/>
      <c r="J201" s="60"/>
      <c r="K201" s="60"/>
      <c r="L201" s="60"/>
    </row>
    <row r="202" spans="4:12" x14ac:dyDescent="0.25">
      <c r="D202" s="60"/>
      <c r="E202" s="60"/>
      <c r="F202" s="60"/>
      <c r="G202" s="60"/>
      <c r="H202" s="60"/>
      <c r="I202" s="60"/>
      <c r="J202" s="60"/>
      <c r="K202" s="60"/>
      <c r="L202" s="60"/>
    </row>
    <row r="203" spans="4:12" x14ac:dyDescent="0.25">
      <c r="D203" s="60"/>
      <c r="E203" s="60"/>
      <c r="F203" s="60"/>
      <c r="G203" s="60"/>
      <c r="H203" s="60"/>
      <c r="I203" s="60"/>
      <c r="J203" s="60"/>
      <c r="K203" s="60"/>
      <c r="L203" s="60"/>
    </row>
    <row r="204" spans="4:12" x14ac:dyDescent="0.25">
      <c r="D204" s="60"/>
      <c r="E204" s="60"/>
      <c r="F204" s="60"/>
      <c r="G204" s="60"/>
      <c r="H204" s="60"/>
      <c r="I204" s="60"/>
      <c r="J204" s="60"/>
      <c r="K204" s="60"/>
      <c r="L204" s="60"/>
    </row>
    <row r="205" spans="4:12" x14ac:dyDescent="0.25">
      <c r="D205" s="60"/>
      <c r="E205" s="60"/>
      <c r="F205" s="60"/>
      <c r="G205" s="60"/>
      <c r="H205" s="60"/>
      <c r="I205" s="60"/>
      <c r="J205" s="60"/>
      <c r="K205" s="60"/>
      <c r="L205" s="60"/>
    </row>
    <row r="206" spans="4:12" x14ac:dyDescent="0.25">
      <c r="D206" s="60"/>
      <c r="E206" s="60"/>
      <c r="F206" s="60"/>
      <c r="G206" s="60"/>
      <c r="H206" s="60"/>
      <c r="I206" s="60"/>
      <c r="J206" s="60"/>
      <c r="K206" s="60"/>
      <c r="L206" s="60"/>
    </row>
    <row r="207" spans="4:12" x14ac:dyDescent="0.25">
      <c r="D207" s="60"/>
      <c r="E207" s="60"/>
      <c r="F207" s="60"/>
      <c r="G207" s="60"/>
      <c r="H207" s="60"/>
      <c r="I207" s="60"/>
      <c r="J207" s="60"/>
      <c r="K207" s="60"/>
      <c r="L207" s="60"/>
    </row>
    <row r="208" spans="4:12" x14ac:dyDescent="0.25">
      <c r="D208" s="60"/>
      <c r="E208" s="60"/>
      <c r="F208" s="60"/>
      <c r="G208" s="60"/>
      <c r="H208" s="60"/>
      <c r="I208" s="60"/>
      <c r="J208" s="60"/>
      <c r="K208" s="60"/>
      <c r="L208" s="60"/>
    </row>
    <row r="209" spans="4:12" x14ac:dyDescent="0.25">
      <c r="D209" s="60"/>
      <c r="E209" s="60"/>
      <c r="F209" s="60"/>
      <c r="G209" s="60"/>
      <c r="H209" s="60"/>
      <c r="I209" s="60"/>
      <c r="J209" s="60"/>
      <c r="K209" s="60"/>
      <c r="L209" s="60"/>
    </row>
    <row r="210" spans="4:12" x14ac:dyDescent="0.25">
      <c r="D210" s="60"/>
      <c r="E210" s="60"/>
      <c r="F210" s="60"/>
      <c r="G210" s="60"/>
      <c r="H210" s="60"/>
      <c r="I210" s="60"/>
      <c r="J210" s="60"/>
      <c r="K210" s="60"/>
      <c r="L210" s="60"/>
    </row>
    <row r="211" spans="4:12" x14ac:dyDescent="0.25">
      <c r="D211" s="60"/>
      <c r="E211" s="60"/>
      <c r="F211" s="60"/>
      <c r="G211" s="60"/>
      <c r="H211" s="60"/>
      <c r="I211" s="60"/>
      <c r="J211" s="60"/>
      <c r="K211" s="60"/>
      <c r="L211" s="60"/>
    </row>
    <row r="212" spans="4:12" x14ac:dyDescent="0.25">
      <c r="D212" s="60"/>
      <c r="E212" s="60"/>
      <c r="F212" s="60"/>
      <c r="G212" s="60"/>
      <c r="H212" s="60"/>
      <c r="I212" s="60"/>
      <c r="J212" s="60"/>
      <c r="K212" s="60"/>
      <c r="L212" s="60"/>
    </row>
    <row r="213" spans="4:12" x14ac:dyDescent="0.25">
      <c r="D213" s="60"/>
      <c r="E213" s="60"/>
      <c r="F213" s="60"/>
      <c r="G213" s="60"/>
      <c r="H213" s="60"/>
      <c r="I213" s="60"/>
      <c r="J213" s="60"/>
      <c r="K213" s="60"/>
      <c r="L213" s="60"/>
    </row>
    <row r="214" spans="4:12" x14ac:dyDescent="0.25">
      <c r="D214" s="60"/>
      <c r="E214" s="60"/>
      <c r="F214" s="60"/>
      <c r="G214" s="60"/>
      <c r="H214" s="60"/>
      <c r="I214" s="60"/>
      <c r="J214" s="60"/>
      <c r="K214" s="60"/>
      <c r="L214" s="60"/>
    </row>
    <row r="215" spans="4:12" x14ac:dyDescent="0.25">
      <c r="D215" s="60"/>
      <c r="E215" s="60"/>
      <c r="F215" s="60"/>
      <c r="G215" s="60"/>
      <c r="H215" s="60"/>
      <c r="I215" s="60"/>
      <c r="J215" s="60"/>
      <c r="K215" s="60"/>
      <c r="L215" s="60"/>
    </row>
    <row r="216" spans="4:12" x14ac:dyDescent="0.25">
      <c r="D216" s="60"/>
      <c r="E216" s="60"/>
      <c r="F216" s="60"/>
      <c r="G216" s="60"/>
      <c r="H216" s="60"/>
      <c r="I216" s="60"/>
      <c r="J216" s="60"/>
      <c r="K216" s="60"/>
      <c r="L216" s="60"/>
    </row>
    <row r="217" spans="4:12" x14ac:dyDescent="0.25">
      <c r="D217" s="60"/>
      <c r="E217" s="60"/>
      <c r="F217" s="60"/>
      <c r="G217" s="60"/>
      <c r="H217" s="60"/>
      <c r="I217" s="60"/>
      <c r="J217" s="60"/>
      <c r="K217" s="60"/>
      <c r="L217" s="60"/>
    </row>
    <row r="218" spans="4:12" x14ac:dyDescent="0.25">
      <c r="D218" s="60"/>
      <c r="E218" s="60"/>
      <c r="F218" s="60"/>
      <c r="G218" s="60"/>
      <c r="H218" s="60"/>
      <c r="I218" s="60"/>
      <c r="J218" s="60"/>
      <c r="K218" s="60"/>
      <c r="L218" s="60"/>
    </row>
    <row r="219" spans="4:12" x14ac:dyDescent="0.25">
      <c r="D219" s="60"/>
      <c r="E219" s="60"/>
      <c r="F219" s="60"/>
      <c r="G219" s="60"/>
      <c r="H219" s="60"/>
      <c r="I219" s="60"/>
      <c r="J219" s="60"/>
      <c r="K219" s="60"/>
      <c r="L219" s="60"/>
    </row>
    <row r="220" spans="4:12" x14ac:dyDescent="0.25">
      <c r="D220" s="60"/>
      <c r="E220" s="60"/>
      <c r="F220" s="60"/>
      <c r="G220" s="60"/>
      <c r="H220" s="60"/>
      <c r="I220" s="60"/>
      <c r="J220" s="60"/>
      <c r="K220" s="60"/>
      <c r="L220" s="60"/>
    </row>
    <row r="221" spans="4:12" x14ac:dyDescent="0.25">
      <c r="D221" s="60"/>
      <c r="E221" s="60"/>
      <c r="F221" s="60"/>
      <c r="G221" s="60"/>
      <c r="H221" s="60"/>
      <c r="I221" s="60"/>
      <c r="J221" s="60"/>
      <c r="K221" s="60"/>
      <c r="L221" s="60"/>
    </row>
    <row r="222" spans="4:12" x14ac:dyDescent="0.25">
      <c r="D222" s="60"/>
      <c r="E222" s="60"/>
      <c r="F222" s="60"/>
      <c r="G222" s="60"/>
      <c r="H222" s="60"/>
      <c r="I222" s="60"/>
      <c r="J222" s="60"/>
      <c r="K222" s="60"/>
      <c r="L222" s="60"/>
    </row>
    <row r="223" spans="4:12" x14ac:dyDescent="0.25">
      <c r="D223" s="60"/>
      <c r="E223" s="60"/>
      <c r="F223" s="60"/>
      <c r="G223" s="60"/>
      <c r="H223" s="60"/>
      <c r="I223" s="60"/>
      <c r="J223" s="60"/>
      <c r="K223" s="60"/>
      <c r="L223" s="60"/>
    </row>
    <row r="224" spans="4:12" x14ac:dyDescent="0.25">
      <c r="D224" s="60"/>
      <c r="E224" s="60"/>
      <c r="F224" s="60"/>
      <c r="G224" s="60"/>
      <c r="H224" s="60"/>
      <c r="I224" s="60"/>
      <c r="J224" s="60"/>
      <c r="K224" s="60"/>
      <c r="L224" s="60"/>
    </row>
    <row r="225" spans="4:12" x14ac:dyDescent="0.25">
      <c r="D225" s="60"/>
      <c r="E225" s="60"/>
      <c r="F225" s="60"/>
      <c r="G225" s="60"/>
      <c r="H225" s="60"/>
      <c r="I225" s="60"/>
      <c r="J225" s="60"/>
      <c r="K225" s="60"/>
      <c r="L225" s="60"/>
    </row>
    <row r="226" spans="4:12" x14ac:dyDescent="0.25">
      <c r="D226" s="60"/>
      <c r="E226" s="60"/>
      <c r="F226" s="60"/>
      <c r="G226" s="60"/>
      <c r="H226" s="60"/>
      <c r="I226" s="60"/>
      <c r="J226" s="60"/>
      <c r="K226" s="60"/>
      <c r="L226" s="60"/>
    </row>
    <row r="227" spans="4:12" x14ac:dyDescent="0.25">
      <c r="D227" s="60"/>
      <c r="E227" s="60"/>
      <c r="F227" s="60"/>
      <c r="G227" s="60"/>
      <c r="H227" s="60"/>
      <c r="I227" s="60"/>
      <c r="J227" s="60"/>
      <c r="K227" s="60"/>
      <c r="L227" s="60"/>
    </row>
    <row r="228" spans="4:12" x14ac:dyDescent="0.25">
      <c r="D228" s="60"/>
      <c r="E228" s="60"/>
      <c r="F228" s="60"/>
      <c r="G228" s="60"/>
      <c r="H228" s="60"/>
      <c r="I228" s="60"/>
      <c r="J228" s="60"/>
      <c r="K228" s="60"/>
      <c r="L228" s="60"/>
    </row>
    <row r="229" spans="4:12" x14ac:dyDescent="0.25">
      <c r="D229" s="60"/>
      <c r="E229" s="60"/>
      <c r="F229" s="60"/>
      <c r="G229" s="60"/>
      <c r="H229" s="60"/>
      <c r="I229" s="60"/>
      <c r="J229" s="60"/>
      <c r="K229" s="60"/>
      <c r="L229" s="60"/>
    </row>
    <row r="230" spans="4:12" x14ac:dyDescent="0.25">
      <c r="D230" s="60"/>
      <c r="E230" s="60"/>
      <c r="F230" s="60"/>
      <c r="G230" s="60"/>
      <c r="H230" s="60"/>
      <c r="I230" s="60"/>
      <c r="J230" s="60"/>
      <c r="K230" s="60"/>
      <c r="L230" s="60"/>
    </row>
    <row r="231" spans="4:12" x14ac:dyDescent="0.25">
      <c r="D231" s="60"/>
      <c r="E231" s="60"/>
      <c r="F231" s="60"/>
      <c r="G231" s="60"/>
      <c r="H231" s="60"/>
      <c r="I231" s="60"/>
      <c r="J231" s="60"/>
      <c r="K231" s="60"/>
      <c r="L231" s="60"/>
    </row>
    <row r="232" spans="4:12" x14ac:dyDescent="0.25">
      <c r="D232" s="60"/>
      <c r="E232" s="60"/>
      <c r="F232" s="60"/>
      <c r="G232" s="60"/>
      <c r="H232" s="60"/>
      <c r="I232" s="60"/>
      <c r="J232" s="60"/>
      <c r="K232" s="60"/>
      <c r="L232" s="60"/>
    </row>
    <row r="233" spans="4:12" x14ac:dyDescent="0.25">
      <c r="D233" s="60"/>
      <c r="E233" s="60"/>
      <c r="F233" s="60"/>
      <c r="G233" s="60"/>
      <c r="H233" s="60"/>
      <c r="I233" s="60"/>
      <c r="J233" s="60"/>
      <c r="K233" s="60"/>
      <c r="L233" s="60"/>
    </row>
    <row r="234" spans="4:12" x14ac:dyDescent="0.25">
      <c r="D234" s="60"/>
      <c r="E234" s="60"/>
      <c r="F234" s="60"/>
      <c r="G234" s="60"/>
      <c r="H234" s="60"/>
      <c r="I234" s="60"/>
      <c r="J234" s="60"/>
      <c r="K234" s="60"/>
      <c r="L234" s="60"/>
    </row>
    <row r="235" spans="4:12" x14ac:dyDescent="0.25">
      <c r="D235" s="60"/>
      <c r="E235" s="60"/>
      <c r="F235" s="60"/>
      <c r="G235" s="60"/>
      <c r="H235" s="60"/>
      <c r="I235" s="60"/>
      <c r="J235" s="60"/>
      <c r="K235" s="60"/>
      <c r="L235" s="60"/>
    </row>
    <row r="236" spans="4:12" x14ac:dyDescent="0.25">
      <c r="D236" s="60"/>
      <c r="E236" s="60"/>
      <c r="F236" s="60"/>
      <c r="G236" s="60"/>
      <c r="H236" s="60"/>
      <c r="I236" s="60"/>
      <c r="J236" s="60"/>
      <c r="K236" s="60"/>
      <c r="L236" s="60"/>
    </row>
    <row r="237" spans="4:12" x14ac:dyDescent="0.25">
      <c r="D237" s="60"/>
      <c r="E237" s="60"/>
      <c r="F237" s="60"/>
      <c r="G237" s="60"/>
      <c r="H237" s="60"/>
      <c r="I237" s="60"/>
      <c r="J237" s="60"/>
      <c r="K237" s="60"/>
      <c r="L237" s="60"/>
    </row>
    <row r="238" spans="4:12" x14ac:dyDescent="0.25">
      <c r="D238" s="60"/>
      <c r="E238" s="60"/>
      <c r="F238" s="60"/>
      <c r="G238" s="60"/>
      <c r="H238" s="60"/>
      <c r="I238" s="60"/>
      <c r="J238" s="60"/>
      <c r="K238" s="60"/>
      <c r="L238" s="60"/>
    </row>
    <row r="239" spans="4:12" x14ac:dyDescent="0.25">
      <c r="D239" s="60"/>
      <c r="E239" s="60"/>
      <c r="F239" s="60"/>
      <c r="G239" s="60"/>
      <c r="H239" s="60"/>
      <c r="I239" s="60"/>
      <c r="J239" s="60"/>
      <c r="K239" s="60"/>
      <c r="L239" s="60"/>
    </row>
    <row r="240" spans="4:12" x14ac:dyDescent="0.25">
      <c r="D240" s="60"/>
      <c r="E240" s="60"/>
      <c r="F240" s="60"/>
      <c r="G240" s="60"/>
      <c r="H240" s="60"/>
      <c r="I240" s="60"/>
      <c r="J240" s="60"/>
      <c r="K240" s="60"/>
      <c r="L240" s="60"/>
    </row>
    <row r="241" spans="4:12" x14ac:dyDescent="0.25">
      <c r="D241" s="60"/>
      <c r="E241" s="60"/>
      <c r="F241" s="60"/>
      <c r="G241" s="60"/>
      <c r="H241" s="60"/>
      <c r="I241" s="60"/>
      <c r="J241" s="60"/>
      <c r="K241" s="60"/>
      <c r="L241" s="60"/>
    </row>
    <row r="242" spans="4:12" x14ac:dyDescent="0.25">
      <c r="D242" s="60"/>
      <c r="E242" s="60"/>
      <c r="F242" s="60"/>
      <c r="G242" s="60"/>
      <c r="H242" s="60"/>
      <c r="I242" s="60"/>
      <c r="J242" s="60"/>
      <c r="K242" s="60"/>
      <c r="L242" s="60"/>
    </row>
    <row r="243" spans="4:12" x14ac:dyDescent="0.25">
      <c r="D243" s="60"/>
      <c r="E243" s="60"/>
      <c r="F243" s="60"/>
      <c r="G243" s="60"/>
      <c r="H243" s="60"/>
      <c r="I243" s="60"/>
      <c r="J243" s="60"/>
      <c r="K243" s="60"/>
      <c r="L243" s="60"/>
    </row>
    <row r="244" spans="4:12" x14ac:dyDescent="0.25">
      <c r="D244" s="60"/>
      <c r="E244" s="60"/>
      <c r="F244" s="60"/>
      <c r="G244" s="60"/>
      <c r="H244" s="60"/>
      <c r="I244" s="60"/>
      <c r="J244" s="60"/>
      <c r="K244" s="60"/>
      <c r="L244" s="60"/>
    </row>
    <row r="245" spans="4:12" x14ac:dyDescent="0.25">
      <c r="D245" s="60"/>
      <c r="E245" s="60"/>
      <c r="F245" s="60"/>
      <c r="G245" s="60"/>
      <c r="H245" s="60"/>
      <c r="I245" s="60"/>
      <c r="J245" s="60"/>
      <c r="K245" s="60"/>
      <c r="L245" s="60"/>
    </row>
    <row r="246" spans="4:12" x14ac:dyDescent="0.25">
      <c r="D246" s="60"/>
      <c r="E246" s="60"/>
      <c r="F246" s="60"/>
      <c r="G246" s="60"/>
      <c r="H246" s="60"/>
      <c r="I246" s="60"/>
      <c r="J246" s="60"/>
      <c r="K246" s="60"/>
      <c r="L246" s="60"/>
    </row>
    <row r="247" spans="4:12" x14ac:dyDescent="0.25">
      <c r="D247" s="60"/>
      <c r="E247" s="60"/>
      <c r="F247" s="60"/>
      <c r="G247" s="60"/>
      <c r="H247" s="60"/>
      <c r="I247" s="60"/>
      <c r="J247" s="60"/>
      <c r="K247" s="60"/>
      <c r="L247" s="60"/>
    </row>
    <row r="248" spans="4:12" x14ac:dyDescent="0.25">
      <c r="D248" s="60"/>
      <c r="E248" s="60"/>
      <c r="F248" s="60"/>
      <c r="G248" s="60"/>
      <c r="H248" s="60"/>
      <c r="I248" s="60"/>
      <c r="J248" s="60"/>
      <c r="K248" s="60"/>
      <c r="L248" s="60"/>
    </row>
    <row r="249" spans="4:12" x14ac:dyDescent="0.25">
      <c r="D249" s="60"/>
      <c r="E249" s="60"/>
      <c r="F249" s="60"/>
      <c r="G249" s="60"/>
      <c r="H249" s="60"/>
      <c r="I249" s="60"/>
      <c r="J249" s="60"/>
      <c r="K249" s="60"/>
      <c r="L249" s="60"/>
    </row>
    <row r="250" spans="4:12" x14ac:dyDescent="0.25">
      <c r="D250" s="60"/>
      <c r="E250" s="60"/>
      <c r="F250" s="60"/>
      <c r="G250" s="60"/>
      <c r="H250" s="60"/>
      <c r="I250" s="60"/>
      <c r="J250" s="60"/>
      <c r="K250" s="60"/>
      <c r="L250" s="60"/>
    </row>
    <row r="251" spans="4:12" x14ac:dyDescent="0.25">
      <c r="D251" s="60"/>
      <c r="E251" s="60"/>
      <c r="F251" s="60"/>
      <c r="G251" s="60"/>
      <c r="H251" s="60"/>
      <c r="I251" s="60"/>
      <c r="J251" s="60"/>
      <c r="K251" s="60"/>
      <c r="L251" s="60"/>
    </row>
    <row r="252" spans="4:12" x14ac:dyDescent="0.25">
      <c r="D252" s="60"/>
      <c r="E252" s="60"/>
      <c r="F252" s="60"/>
      <c r="G252" s="60"/>
      <c r="H252" s="60"/>
      <c r="I252" s="60"/>
      <c r="J252" s="60"/>
      <c r="K252" s="60"/>
      <c r="L252" s="60"/>
    </row>
    <row r="253" spans="4:12" x14ac:dyDescent="0.25">
      <c r="D253" s="60"/>
      <c r="E253" s="60"/>
      <c r="F253" s="60"/>
      <c r="G253" s="60"/>
      <c r="H253" s="60"/>
      <c r="I253" s="60"/>
      <c r="J253" s="60"/>
      <c r="K253" s="60"/>
      <c r="L253" s="60"/>
    </row>
    <row r="254" spans="4:12" x14ac:dyDescent="0.25">
      <c r="D254" s="60"/>
      <c r="E254" s="60"/>
      <c r="F254" s="60"/>
      <c r="G254" s="60"/>
      <c r="H254" s="60"/>
      <c r="I254" s="60"/>
      <c r="J254" s="60"/>
      <c r="K254" s="60"/>
      <c r="L254" s="60"/>
    </row>
    <row r="255" spans="4:12" x14ac:dyDescent="0.25">
      <c r="D255" s="60"/>
      <c r="E255" s="60"/>
      <c r="F255" s="60"/>
      <c r="G255" s="60"/>
      <c r="H255" s="60"/>
      <c r="I255" s="60"/>
      <c r="J255" s="60"/>
      <c r="K255" s="60"/>
      <c r="L255" s="60"/>
    </row>
    <row r="256" spans="4:12" x14ac:dyDescent="0.25">
      <c r="D256" s="60"/>
      <c r="E256" s="60"/>
      <c r="F256" s="60"/>
      <c r="G256" s="60"/>
      <c r="H256" s="60"/>
      <c r="I256" s="60"/>
      <c r="J256" s="60"/>
      <c r="K256" s="60"/>
      <c r="L256" s="60"/>
    </row>
    <row r="257" spans="4:12" x14ac:dyDescent="0.25">
      <c r="D257" s="60"/>
      <c r="E257" s="60"/>
      <c r="F257" s="60"/>
      <c r="G257" s="60"/>
      <c r="H257" s="60"/>
      <c r="I257" s="60"/>
      <c r="J257" s="60"/>
      <c r="K257" s="60"/>
      <c r="L257" s="60"/>
    </row>
    <row r="258" spans="4:12" x14ac:dyDescent="0.25">
      <c r="D258" s="60"/>
      <c r="E258" s="60"/>
      <c r="F258" s="60"/>
      <c r="G258" s="60"/>
      <c r="H258" s="60"/>
      <c r="I258" s="60"/>
      <c r="J258" s="60"/>
      <c r="K258" s="60"/>
      <c r="L258" s="60"/>
    </row>
    <row r="259" spans="4:12" x14ac:dyDescent="0.25">
      <c r="D259" s="60"/>
      <c r="E259" s="60"/>
      <c r="F259" s="60"/>
      <c r="G259" s="60"/>
      <c r="H259" s="60"/>
      <c r="I259" s="60"/>
      <c r="J259" s="60"/>
      <c r="K259" s="60"/>
      <c r="L259" s="60"/>
    </row>
    <row r="260" spans="4:12" x14ac:dyDescent="0.25">
      <c r="D260" s="60"/>
      <c r="E260" s="60"/>
      <c r="F260" s="60"/>
      <c r="G260" s="60"/>
      <c r="H260" s="60"/>
      <c r="I260" s="60"/>
      <c r="J260" s="60"/>
      <c r="K260" s="60"/>
      <c r="L260" s="60"/>
    </row>
    <row r="261" spans="4:12" x14ac:dyDescent="0.25">
      <c r="D261" s="60"/>
      <c r="E261" s="60"/>
      <c r="F261" s="60"/>
      <c r="G261" s="60"/>
      <c r="H261" s="60"/>
      <c r="I261" s="60"/>
      <c r="J261" s="60"/>
      <c r="K261" s="60"/>
      <c r="L261" s="60"/>
    </row>
    <row r="262" spans="4:12" x14ac:dyDescent="0.25">
      <c r="D262" s="60"/>
      <c r="E262" s="60"/>
      <c r="F262" s="60"/>
      <c r="G262" s="60"/>
      <c r="H262" s="60"/>
      <c r="I262" s="60"/>
      <c r="J262" s="60"/>
      <c r="K262" s="60"/>
      <c r="L262" s="60"/>
    </row>
    <row r="263" spans="4:12" x14ac:dyDescent="0.25">
      <c r="D263" s="60"/>
      <c r="E263" s="60"/>
      <c r="F263" s="60"/>
      <c r="G263" s="60"/>
      <c r="H263" s="60"/>
      <c r="I263" s="60"/>
      <c r="J263" s="60"/>
      <c r="K263" s="60"/>
      <c r="L263" s="60"/>
    </row>
    <row r="264" spans="4:12" x14ac:dyDescent="0.25">
      <c r="D264" s="60"/>
      <c r="E264" s="60"/>
      <c r="F264" s="60"/>
      <c r="G264" s="60"/>
      <c r="H264" s="60"/>
      <c r="I264" s="60"/>
      <c r="J264" s="60"/>
      <c r="K264" s="60"/>
      <c r="L264" s="60"/>
    </row>
    <row r="265" spans="4:12" x14ac:dyDescent="0.25">
      <c r="D265" s="60"/>
      <c r="E265" s="60"/>
      <c r="F265" s="60"/>
      <c r="G265" s="60"/>
      <c r="H265" s="60"/>
      <c r="I265" s="60"/>
      <c r="J265" s="60"/>
      <c r="K265" s="60"/>
      <c r="L265" s="60"/>
    </row>
    <row r="266" spans="4:12" x14ac:dyDescent="0.25">
      <c r="D266" s="60"/>
      <c r="E266" s="60"/>
      <c r="F266" s="60"/>
      <c r="G266" s="60"/>
      <c r="H266" s="60"/>
      <c r="I266" s="60"/>
      <c r="J266" s="60"/>
      <c r="K266" s="60"/>
      <c r="L266" s="60"/>
    </row>
    <row r="267" spans="4:12" x14ac:dyDescent="0.25">
      <c r="D267" s="60"/>
      <c r="E267" s="60"/>
      <c r="F267" s="60"/>
      <c r="G267" s="60"/>
      <c r="H267" s="60"/>
      <c r="I267" s="60"/>
      <c r="J267" s="60"/>
      <c r="K267" s="60"/>
      <c r="L267" s="60"/>
    </row>
    <row r="268" spans="4:12" x14ac:dyDescent="0.25">
      <c r="D268" s="60"/>
      <c r="E268" s="60"/>
      <c r="F268" s="60"/>
      <c r="G268" s="60"/>
      <c r="H268" s="60"/>
      <c r="I268" s="60"/>
      <c r="J268" s="60"/>
      <c r="K268" s="60"/>
      <c r="L268" s="60"/>
    </row>
    <row r="269" spans="4:12" x14ac:dyDescent="0.25">
      <c r="D269" s="60"/>
      <c r="E269" s="60"/>
      <c r="F269" s="60"/>
      <c r="G269" s="60"/>
      <c r="H269" s="60"/>
      <c r="I269" s="60"/>
      <c r="J269" s="60"/>
      <c r="K269" s="60"/>
      <c r="L269" s="60"/>
    </row>
    <row r="270" spans="4:12" x14ac:dyDescent="0.25">
      <c r="D270" s="60"/>
      <c r="E270" s="60"/>
      <c r="F270" s="60"/>
      <c r="G270" s="60"/>
      <c r="H270" s="60"/>
      <c r="I270" s="60"/>
      <c r="J270" s="60"/>
      <c r="K270" s="60"/>
      <c r="L270" s="60"/>
    </row>
    <row r="271" spans="4:12" x14ac:dyDescent="0.25">
      <c r="D271" s="60"/>
      <c r="E271" s="60"/>
      <c r="F271" s="60"/>
      <c r="G271" s="60"/>
      <c r="H271" s="60"/>
      <c r="I271" s="60"/>
      <c r="J271" s="60"/>
      <c r="K271" s="60"/>
      <c r="L271" s="60"/>
    </row>
    <row r="272" spans="4:12" x14ac:dyDescent="0.25">
      <c r="D272" s="60"/>
      <c r="E272" s="60"/>
      <c r="F272" s="60"/>
      <c r="G272" s="60"/>
      <c r="H272" s="60"/>
      <c r="I272" s="60"/>
      <c r="J272" s="60"/>
      <c r="K272" s="60"/>
      <c r="L272" s="60"/>
    </row>
    <row r="273" spans="4:12" x14ac:dyDescent="0.25">
      <c r="D273" s="60"/>
      <c r="E273" s="60"/>
      <c r="F273" s="60"/>
      <c r="G273" s="60"/>
      <c r="H273" s="60"/>
      <c r="I273" s="60"/>
      <c r="J273" s="60"/>
      <c r="K273" s="60"/>
      <c r="L273" s="60"/>
    </row>
    <row r="274" spans="4:12" x14ac:dyDescent="0.25">
      <c r="D274" s="60"/>
      <c r="E274" s="60"/>
      <c r="F274" s="60"/>
      <c r="G274" s="60"/>
      <c r="H274" s="60"/>
      <c r="I274" s="60"/>
      <c r="J274" s="60"/>
      <c r="K274" s="60"/>
      <c r="L274" s="60"/>
    </row>
    <row r="275" spans="4:12" x14ac:dyDescent="0.25">
      <c r="D275" s="60"/>
      <c r="E275" s="60"/>
      <c r="F275" s="60"/>
      <c r="G275" s="60"/>
      <c r="H275" s="60"/>
      <c r="I275" s="60"/>
      <c r="J275" s="60"/>
      <c r="K275" s="60"/>
      <c r="L275" s="60"/>
    </row>
    <row r="276" spans="4:12" x14ac:dyDescent="0.25">
      <c r="D276" s="60"/>
      <c r="E276" s="60"/>
      <c r="F276" s="60"/>
      <c r="G276" s="60"/>
      <c r="H276" s="60"/>
      <c r="I276" s="60"/>
      <c r="J276" s="60"/>
      <c r="K276" s="60"/>
      <c r="L276" s="60"/>
    </row>
    <row r="277" spans="4:12" x14ac:dyDescent="0.25">
      <c r="D277" s="60"/>
      <c r="E277" s="60"/>
      <c r="F277" s="60"/>
      <c r="G277" s="60"/>
      <c r="H277" s="60"/>
      <c r="I277" s="60"/>
      <c r="J277" s="60"/>
      <c r="K277" s="60"/>
      <c r="L277" s="60"/>
    </row>
    <row r="278" spans="4:12" x14ac:dyDescent="0.25">
      <c r="D278" s="60"/>
      <c r="E278" s="60"/>
      <c r="F278" s="60"/>
      <c r="G278" s="60"/>
      <c r="H278" s="60"/>
      <c r="I278" s="60"/>
      <c r="J278" s="60"/>
      <c r="K278" s="60"/>
      <c r="L278" s="60"/>
    </row>
    <row r="279" spans="4:12" x14ac:dyDescent="0.25">
      <c r="D279" s="60"/>
      <c r="E279" s="60"/>
      <c r="F279" s="60"/>
      <c r="G279" s="60"/>
      <c r="H279" s="60"/>
      <c r="I279" s="60"/>
      <c r="J279" s="60"/>
      <c r="K279" s="60"/>
      <c r="L279" s="60"/>
    </row>
    <row r="280" spans="4:12" x14ac:dyDescent="0.25">
      <c r="D280" s="60"/>
      <c r="E280" s="60"/>
      <c r="F280" s="60"/>
      <c r="G280" s="60"/>
      <c r="H280" s="60"/>
      <c r="I280" s="60"/>
      <c r="J280" s="60"/>
      <c r="K280" s="60"/>
      <c r="L280" s="60"/>
    </row>
    <row r="281" spans="4:12" x14ac:dyDescent="0.25">
      <c r="D281" s="60"/>
      <c r="E281" s="60"/>
      <c r="F281" s="60"/>
      <c r="G281" s="60"/>
      <c r="H281" s="60"/>
      <c r="I281" s="60"/>
      <c r="J281" s="60"/>
      <c r="K281" s="60"/>
      <c r="L281" s="60"/>
    </row>
    <row r="282" spans="4:12" x14ac:dyDescent="0.25">
      <c r="D282" s="60"/>
      <c r="E282" s="60"/>
      <c r="F282" s="60"/>
      <c r="G282" s="60"/>
      <c r="H282" s="60"/>
      <c r="I282" s="60"/>
      <c r="J282" s="60"/>
      <c r="K282" s="60"/>
      <c r="L282" s="60"/>
    </row>
    <row r="283" spans="4:12" x14ac:dyDescent="0.25">
      <c r="D283" s="60"/>
      <c r="E283" s="60"/>
      <c r="F283" s="60"/>
      <c r="G283" s="60"/>
      <c r="H283" s="60"/>
      <c r="I283" s="60"/>
      <c r="J283" s="60"/>
      <c r="K283" s="60"/>
      <c r="L283" s="60"/>
    </row>
    <row r="284" spans="4:12" x14ac:dyDescent="0.25">
      <c r="D284" s="60"/>
      <c r="E284" s="60"/>
      <c r="F284" s="60"/>
      <c r="G284" s="60"/>
      <c r="H284" s="60"/>
      <c r="I284" s="60"/>
      <c r="J284" s="60"/>
      <c r="K284" s="60"/>
      <c r="L284" s="60"/>
    </row>
    <row r="285" spans="4:12" x14ac:dyDescent="0.25">
      <c r="D285" s="60"/>
      <c r="E285" s="60"/>
      <c r="F285" s="60"/>
      <c r="G285" s="60"/>
      <c r="H285" s="60"/>
      <c r="I285" s="60"/>
      <c r="J285" s="60"/>
      <c r="K285" s="60"/>
      <c r="L285" s="60"/>
    </row>
    <row r="286" spans="4:12" x14ac:dyDescent="0.25">
      <c r="D286" s="60"/>
      <c r="E286" s="60"/>
      <c r="F286" s="60"/>
      <c r="G286" s="60"/>
      <c r="H286" s="60"/>
      <c r="I286" s="60"/>
      <c r="J286" s="60"/>
      <c r="K286" s="60"/>
      <c r="L286" s="60"/>
    </row>
    <row r="287" spans="4:12" x14ac:dyDescent="0.25">
      <c r="D287" s="60"/>
      <c r="E287" s="60"/>
      <c r="F287" s="60"/>
      <c r="G287" s="60"/>
      <c r="H287" s="60"/>
      <c r="I287" s="60"/>
      <c r="J287" s="60"/>
      <c r="K287" s="60"/>
      <c r="L287" s="60"/>
    </row>
    <row r="288" spans="4:12" x14ac:dyDescent="0.25">
      <c r="D288" s="60"/>
      <c r="E288" s="60"/>
      <c r="F288" s="60"/>
      <c r="G288" s="60"/>
      <c r="H288" s="60"/>
      <c r="I288" s="60"/>
      <c r="J288" s="60"/>
      <c r="K288" s="60"/>
      <c r="L288" s="60"/>
    </row>
    <row r="289" spans="4:12" x14ac:dyDescent="0.25">
      <c r="D289" s="60"/>
      <c r="E289" s="60"/>
      <c r="F289" s="60"/>
      <c r="G289" s="60"/>
      <c r="H289" s="60"/>
      <c r="I289" s="60"/>
      <c r="J289" s="60"/>
      <c r="K289" s="60"/>
      <c r="L289" s="60"/>
    </row>
    <row r="290" spans="4:12" x14ac:dyDescent="0.25">
      <c r="D290" s="60"/>
      <c r="E290" s="60"/>
      <c r="F290" s="60"/>
      <c r="G290" s="60"/>
      <c r="H290" s="60"/>
      <c r="I290" s="60"/>
      <c r="J290" s="60"/>
      <c r="K290" s="60"/>
      <c r="L290" s="60"/>
    </row>
    <row r="291" spans="4:12" x14ac:dyDescent="0.25">
      <c r="D291" s="60"/>
      <c r="E291" s="60"/>
      <c r="F291" s="60"/>
      <c r="G291" s="60"/>
      <c r="H291" s="60"/>
      <c r="I291" s="60"/>
      <c r="J291" s="60"/>
      <c r="K291" s="60"/>
      <c r="L291" s="60"/>
    </row>
    <row r="292" spans="4:12" x14ac:dyDescent="0.25">
      <c r="D292" s="60"/>
      <c r="E292" s="60"/>
      <c r="F292" s="60"/>
      <c r="G292" s="60"/>
      <c r="H292" s="60"/>
      <c r="I292" s="60"/>
      <c r="J292" s="60"/>
      <c r="K292" s="60"/>
      <c r="L292" s="60"/>
    </row>
    <row r="293" spans="4:12" x14ac:dyDescent="0.25">
      <c r="D293" s="60"/>
      <c r="E293" s="60"/>
      <c r="F293" s="60"/>
      <c r="G293" s="60"/>
      <c r="H293" s="60"/>
      <c r="I293" s="60"/>
      <c r="J293" s="60"/>
      <c r="K293" s="60"/>
      <c r="L293" s="60"/>
    </row>
    <row r="294" spans="4:12" x14ac:dyDescent="0.25">
      <c r="D294" s="60"/>
      <c r="E294" s="60"/>
      <c r="F294" s="60"/>
      <c r="G294" s="60"/>
      <c r="H294" s="60"/>
      <c r="I294" s="60"/>
      <c r="J294" s="60"/>
      <c r="K294" s="60"/>
      <c r="L294" s="60"/>
    </row>
    <row r="295" spans="4:12" x14ac:dyDescent="0.25">
      <c r="D295" s="60"/>
      <c r="E295" s="60"/>
      <c r="F295" s="60"/>
      <c r="G295" s="60"/>
      <c r="H295" s="60"/>
      <c r="I295" s="60"/>
      <c r="J295" s="60"/>
      <c r="K295" s="60"/>
      <c r="L295" s="60"/>
    </row>
    <row r="296" spans="4:12" x14ac:dyDescent="0.25">
      <c r="D296" s="60"/>
      <c r="E296" s="60"/>
      <c r="F296" s="60"/>
      <c r="G296" s="60"/>
      <c r="H296" s="60"/>
      <c r="I296" s="60"/>
      <c r="J296" s="60"/>
      <c r="K296" s="60"/>
      <c r="L296" s="60"/>
    </row>
    <row r="297" spans="4:12" x14ac:dyDescent="0.25">
      <c r="D297" s="60"/>
      <c r="E297" s="60"/>
      <c r="F297" s="60"/>
      <c r="G297" s="60"/>
      <c r="H297" s="60"/>
      <c r="I297" s="60"/>
      <c r="J297" s="60"/>
      <c r="K297" s="60"/>
      <c r="L297" s="60"/>
    </row>
    <row r="298" spans="4:12" x14ac:dyDescent="0.25">
      <c r="D298" s="60"/>
      <c r="E298" s="60"/>
      <c r="F298" s="60"/>
      <c r="G298" s="60"/>
      <c r="H298" s="60"/>
      <c r="I298" s="60"/>
      <c r="J298" s="60"/>
      <c r="K298" s="60"/>
      <c r="L298" s="60"/>
    </row>
    <row r="299" spans="4:12" x14ac:dyDescent="0.25">
      <c r="D299" s="60"/>
      <c r="E299" s="60"/>
      <c r="F299" s="60"/>
      <c r="G299" s="60"/>
      <c r="H299" s="60"/>
      <c r="I299" s="60"/>
      <c r="J299" s="60"/>
      <c r="K299" s="60"/>
      <c r="L299" s="60"/>
    </row>
    <row r="300" spans="4:12" x14ac:dyDescent="0.25">
      <c r="D300" s="60"/>
      <c r="E300" s="60"/>
      <c r="F300" s="60"/>
      <c r="G300" s="60"/>
      <c r="H300" s="60"/>
      <c r="I300" s="60"/>
      <c r="J300" s="60"/>
      <c r="K300" s="60"/>
      <c r="L300" s="60"/>
    </row>
    <row r="301" spans="4:12" x14ac:dyDescent="0.25">
      <c r="D301" s="60"/>
      <c r="E301" s="60"/>
      <c r="F301" s="60"/>
      <c r="G301" s="60"/>
      <c r="H301" s="60"/>
      <c r="I301" s="60"/>
      <c r="J301" s="60"/>
      <c r="K301" s="60"/>
      <c r="L301" s="60"/>
    </row>
    <row r="302" spans="4:12" x14ac:dyDescent="0.25">
      <c r="D302" s="60"/>
      <c r="E302" s="60"/>
      <c r="F302" s="60"/>
      <c r="G302" s="60"/>
      <c r="H302" s="60"/>
      <c r="I302" s="60"/>
      <c r="J302" s="60"/>
      <c r="K302" s="60"/>
      <c r="L302" s="60"/>
    </row>
    <row r="303" spans="4:12" x14ac:dyDescent="0.25">
      <c r="D303" s="60"/>
      <c r="E303" s="60"/>
      <c r="F303" s="60"/>
      <c r="G303" s="60"/>
      <c r="H303" s="60"/>
      <c r="I303" s="60"/>
      <c r="J303" s="60"/>
      <c r="K303" s="60"/>
      <c r="L303" s="60"/>
    </row>
    <row r="304" spans="4:12" x14ac:dyDescent="0.25">
      <c r="D304" s="60"/>
      <c r="E304" s="60"/>
      <c r="F304" s="60"/>
      <c r="G304" s="60"/>
      <c r="H304" s="60"/>
      <c r="I304" s="60"/>
      <c r="J304" s="60"/>
      <c r="K304" s="60"/>
      <c r="L304" s="60"/>
    </row>
    <row r="305" spans="4:12" x14ac:dyDescent="0.25">
      <c r="D305" s="60"/>
      <c r="E305" s="60"/>
      <c r="F305" s="60"/>
      <c r="G305" s="60"/>
      <c r="H305" s="60"/>
      <c r="I305" s="60"/>
      <c r="J305" s="60"/>
      <c r="K305" s="60"/>
      <c r="L305" s="60"/>
    </row>
    <row r="306" spans="4:12" x14ac:dyDescent="0.25">
      <c r="D306" s="60"/>
      <c r="E306" s="60"/>
      <c r="F306" s="60"/>
      <c r="G306" s="60"/>
      <c r="H306" s="60"/>
      <c r="I306" s="60"/>
      <c r="J306" s="60"/>
      <c r="K306" s="60"/>
      <c r="L306" s="60"/>
    </row>
    <row r="307" spans="4:12" x14ac:dyDescent="0.25">
      <c r="D307" s="60"/>
      <c r="E307" s="60"/>
      <c r="F307" s="60"/>
      <c r="G307" s="60"/>
      <c r="H307" s="60"/>
      <c r="I307" s="60"/>
      <c r="J307" s="60"/>
      <c r="K307" s="60"/>
      <c r="L307" s="60"/>
    </row>
    <row r="308" spans="4:12" x14ac:dyDescent="0.25">
      <c r="D308" s="60"/>
      <c r="E308" s="60"/>
      <c r="F308" s="60"/>
      <c r="G308" s="60"/>
      <c r="H308" s="60"/>
      <c r="I308" s="60"/>
      <c r="J308" s="60"/>
      <c r="K308" s="60"/>
      <c r="L308" s="60"/>
    </row>
    <row r="309" spans="4:12" x14ac:dyDescent="0.25">
      <c r="D309" s="60"/>
      <c r="E309" s="60"/>
      <c r="F309" s="60"/>
      <c r="G309" s="60"/>
      <c r="H309" s="60"/>
      <c r="I309" s="60"/>
      <c r="J309" s="60"/>
      <c r="K309" s="60"/>
      <c r="L309" s="60"/>
    </row>
    <row r="310" spans="4:12" x14ac:dyDescent="0.25">
      <c r="D310" s="60"/>
      <c r="E310" s="60"/>
      <c r="F310" s="60"/>
      <c r="G310" s="60"/>
      <c r="H310" s="60"/>
      <c r="I310" s="60"/>
      <c r="J310" s="60"/>
      <c r="K310" s="60"/>
      <c r="L310" s="60"/>
    </row>
    <row r="311" spans="4:12" x14ac:dyDescent="0.25">
      <c r="D311" s="60"/>
      <c r="E311" s="60"/>
      <c r="F311" s="60"/>
      <c r="G311" s="60"/>
      <c r="H311" s="60"/>
      <c r="I311" s="60"/>
      <c r="J311" s="60"/>
      <c r="K311" s="60"/>
      <c r="L311" s="60"/>
    </row>
    <row r="312" spans="4:12" x14ac:dyDescent="0.25">
      <c r="D312" s="60"/>
      <c r="E312" s="60"/>
      <c r="F312" s="60"/>
      <c r="G312" s="60"/>
      <c r="H312" s="60"/>
      <c r="I312" s="60"/>
      <c r="J312" s="60"/>
      <c r="K312" s="60"/>
      <c r="L312" s="60"/>
    </row>
    <row r="313" spans="4:12" x14ac:dyDescent="0.25">
      <c r="D313" s="60"/>
      <c r="E313" s="60"/>
      <c r="F313" s="60"/>
      <c r="G313" s="60"/>
      <c r="H313" s="60"/>
      <c r="I313" s="60"/>
      <c r="J313" s="60"/>
      <c r="K313" s="60"/>
      <c r="L313" s="60"/>
    </row>
    <row r="314" spans="4:12" x14ac:dyDescent="0.25">
      <c r="D314" s="60"/>
      <c r="E314" s="60"/>
      <c r="F314" s="60"/>
      <c r="G314" s="60"/>
      <c r="H314" s="60"/>
      <c r="I314" s="60"/>
      <c r="J314" s="60"/>
      <c r="K314" s="60"/>
      <c r="L314" s="60"/>
    </row>
    <row r="315" spans="4:12" x14ac:dyDescent="0.25">
      <c r="D315" s="60"/>
      <c r="E315" s="60"/>
      <c r="F315" s="60"/>
      <c r="G315" s="60"/>
      <c r="H315" s="60"/>
      <c r="I315" s="60"/>
      <c r="J315" s="60"/>
      <c r="K315" s="60"/>
      <c r="L315" s="60"/>
    </row>
    <row r="316" spans="4:12" x14ac:dyDescent="0.25">
      <c r="D316" s="60"/>
      <c r="E316" s="60"/>
      <c r="F316" s="60"/>
      <c r="G316" s="60"/>
      <c r="H316" s="60"/>
      <c r="I316" s="60"/>
      <c r="J316" s="60"/>
      <c r="K316" s="60"/>
      <c r="L316" s="60"/>
    </row>
    <row r="317" spans="4:12" x14ac:dyDescent="0.25">
      <c r="D317" s="60"/>
      <c r="E317" s="60"/>
      <c r="F317" s="60"/>
      <c r="G317" s="60"/>
      <c r="H317" s="60"/>
      <c r="I317" s="60"/>
      <c r="J317" s="60"/>
      <c r="K317" s="60"/>
      <c r="L317" s="60"/>
    </row>
    <row r="318" spans="4:12" x14ac:dyDescent="0.25">
      <c r="D318" s="60"/>
      <c r="E318" s="60"/>
      <c r="F318" s="60"/>
      <c r="G318" s="60"/>
      <c r="H318" s="60"/>
      <c r="I318" s="60"/>
      <c r="J318" s="60"/>
      <c r="K318" s="60"/>
      <c r="L318" s="60"/>
    </row>
    <row r="319" spans="4:12" x14ac:dyDescent="0.25">
      <c r="D319" s="60"/>
      <c r="E319" s="60"/>
      <c r="F319" s="60"/>
      <c r="G319" s="60"/>
      <c r="H319" s="60"/>
      <c r="I319" s="60"/>
      <c r="J319" s="60"/>
      <c r="K319" s="60"/>
      <c r="L319" s="60"/>
    </row>
    <row r="320" spans="4:12" x14ac:dyDescent="0.25">
      <c r="D320" s="60"/>
      <c r="E320" s="60"/>
      <c r="F320" s="60"/>
      <c r="G320" s="60"/>
      <c r="H320" s="60"/>
      <c r="I320" s="60"/>
      <c r="J320" s="60"/>
      <c r="K320" s="60"/>
      <c r="L320" s="60"/>
    </row>
    <row r="321" spans="4:12" x14ac:dyDescent="0.25">
      <c r="D321" s="60"/>
      <c r="E321" s="60"/>
      <c r="F321" s="60"/>
      <c r="G321" s="60"/>
      <c r="H321" s="60"/>
      <c r="I321" s="60"/>
      <c r="J321" s="60"/>
      <c r="K321" s="60"/>
      <c r="L321" s="60"/>
    </row>
    <row r="322" spans="4:12" x14ac:dyDescent="0.25">
      <c r="D322" s="60"/>
      <c r="E322" s="60"/>
      <c r="F322" s="60"/>
      <c r="G322" s="60"/>
      <c r="H322" s="60"/>
      <c r="I322" s="60"/>
      <c r="J322" s="60"/>
      <c r="K322" s="60"/>
      <c r="L322" s="60"/>
    </row>
    <row r="323" spans="4:12" x14ac:dyDescent="0.25">
      <c r="D323" s="60"/>
      <c r="E323" s="60"/>
      <c r="F323" s="60"/>
      <c r="G323" s="60"/>
      <c r="H323" s="60"/>
      <c r="I323" s="60"/>
      <c r="J323" s="60"/>
      <c r="K323" s="60"/>
      <c r="L323" s="60"/>
    </row>
    <row r="324" spans="4:12" x14ac:dyDescent="0.25">
      <c r="D324" s="60"/>
      <c r="E324" s="60"/>
      <c r="F324" s="60"/>
      <c r="G324" s="60"/>
      <c r="H324" s="60"/>
      <c r="I324" s="60"/>
      <c r="J324" s="60"/>
      <c r="K324" s="60"/>
      <c r="L324" s="60"/>
    </row>
    <row r="325" spans="4:12" x14ac:dyDescent="0.25">
      <c r="D325" s="60"/>
      <c r="E325" s="60"/>
      <c r="F325" s="60"/>
      <c r="G325" s="60"/>
      <c r="H325" s="60"/>
      <c r="I325" s="60"/>
      <c r="J325" s="60"/>
      <c r="K325" s="60"/>
      <c r="L325" s="60"/>
    </row>
    <row r="326" spans="4:12" x14ac:dyDescent="0.25">
      <c r="D326" s="60"/>
      <c r="E326" s="60"/>
      <c r="F326" s="60"/>
      <c r="G326" s="60"/>
      <c r="H326" s="60"/>
      <c r="I326" s="60"/>
      <c r="J326" s="60"/>
      <c r="K326" s="60"/>
      <c r="L326" s="60"/>
    </row>
    <row r="327" spans="4:12" x14ac:dyDescent="0.25">
      <c r="D327" s="60"/>
      <c r="E327" s="60"/>
      <c r="F327" s="60"/>
      <c r="G327" s="60"/>
      <c r="H327" s="60"/>
      <c r="I327" s="60"/>
      <c r="J327" s="60"/>
      <c r="K327" s="60"/>
      <c r="L327" s="60"/>
    </row>
    <row r="328" spans="4:12" x14ac:dyDescent="0.25">
      <c r="D328" s="60"/>
      <c r="E328" s="60"/>
      <c r="F328" s="60"/>
      <c r="G328" s="60"/>
      <c r="H328" s="60"/>
      <c r="I328" s="60"/>
      <c r="J328" s="60"/>
      <c r="K328" s="60"/>
      <c r="L328" s="60"/>
    </row>
    <row r="329" spans="4:12" x14ac:dyDescent="0.25">
      <c r="D329" s="60"/>
      <c r="E329" s="60"/>
      <c r="F329" s="60"/>
      <c r="G329" s="60"/>
      <c r="H329" s="60"/>
      <c r="I329" s="60"/>
      <c r="J329" s="60"/>
      <c r="K329" s="60"/>
      <c r="L329" s="60"/>
    </row>
    <row r="330" spans="4:12" x14ac:dyDescent="0.25">
      <c r="D330" s="60"/>
      <c r="E330" s="60"/>
      <c r="F330" s="60"/>
      <c r="G330" s="60"/>
      <c r="H330" s="60"/>
      <c r="I330" s="60"/>
      <c r="J330" s="60"/>
      <c r="K330" s="60"/>
      <c r="L330" s="60"/>
    </row>
    <row r="331" spans="4:12" x14ac:dyDescent="0.25">
      <c r="D331" s="60"/>
      <c r="E331" s="60"/>
      <c r="F331" s="60"/>
      <c r="G331" s="60"/>
      <c r="H331" s="60"/>
      <c r="I331" s="60"/>
      <c r="J331" s="60"/>
      <c r="K331" s="60"/>
      <c r="L331" s="60"/>
    </row>
    <row r="332" spans="4:12" x14ac:dyDescent="0.25">
      <c r="D332" s="60"/>
      <c r="E332" s="60"/>
      <c r="F332" s="60"/>
      <c r="G332" s="60"/>
      <c r="H332" s="60"/>
      <c r="I332" s="60"/>
      <c r="J332" s="60"/>
      <c r="K332" s="60"/>
      <c r="L332" s="60"/>
    </row>
    <row r="333" spans="4:12" x14ac:dyDescent="0.25">
      <c r="D333" s="60"/>
      <c r="E333" s="60"/>
      <c r="F333" s="60"/>
      <c r="G333" s="60"/>
      <c r="H333" s="60"/>
      <c r="I333" s="60"/>
      <c r="J333" s="60"/>
      <c r="K333" s="60"/>
      <c r="L333" s="60"/>
    </row>
    <row r="334" spans="4:12" x14ac:dyDescent="0.25">
      <c r="D334" s="60"/>
      <c r="E334" s="60"/>
      <c r="F334" s="60"/>
      <c r="G334" s="60"/>
      <c r="H334" s="60"/>
      <c r="I334" s="60"/>
      <c r="J334" s="60"/>
      <c r="K334" s="60"/>
      <c r="L334" s="60"/>
    </row>
    <row r="335" spans="4:12" x14ac:dyDescent="0.25">
      <c r="D335" s="60"/>
      <c r="E335" s="60"/>
      <c r="F335" s="60"/>
      <c r="G335" s="60"/>
      <c r="H335" s="60"/>
      <c r="I335" s="60"/>
      <c r="J335" s="60"/>
      <c r="K335" s="60"/>
      <c r="L335" s="60"/>
    </row>
    <row r="336" spans="4:12" x14ac:dyDescent="0.25">
      <c r="D336" s="60"/>
      <c r="E336" s="60"/>
      <c r="F336" s="60"/>
      <c r="G336" s="60"/>
      <c r="H336" s="60"/>
      <c r="I336" s="60"/>
      <c r="J336" s="60"/>
      <c r="K336" s="60"/>
      <c r="L336" s="60"/>
    </row>
    <row r="337" spans="4:12" x14ac:dyDescent="0.25">
      <c r="D337" s="60"/>
      <c r="E337" s="60"/>
      <c r="F337" s="60"/>
      <c r="G337" s="60"/>
      <c r="H337" s="60"/>
      <c r="I337" s="60"/>
      <c r="J337" s="60"/>
      <c r="K337" s="60"/>
      <c r="L337" s="60"/>
    </row>
    <row r="338" spans="4:12" x14ac:dyDescent="0.25">
      <c r="D338" s="60"/>
      <c r="E338" s="60"/>
      <c r="F338" s="60"/>
      <c r="G338" s="60"/>
      <c r="H338" s="60"/>
      <c r="I338" s="60"/>
      <c r="J338" s="60"/>
      <c r="K338" s="60"/>
      <c r="L338" s="60"/>
    </row>
    <row r="339" spans="4:12" x14ac:dyDescent="0.25">
      <c r="D339" s="60"/>
      <c r="E339" s="60"/>
      <c r="F339" s="60"/>
      <c r="G339" s="60"/>
      <c r="H339" s="60"/>
      <c r="I339" s="60"/>
      <c r="J339" s="60"/>
      <c r="K339" s="60"/>
      <c r="L339" s="60"/>
    </row>
    <row r="340" spans="4:12" x14ac:dyDescent="0.25">
      <c r="D340" s="60"/>
      <c r="E340" s="60"/>
      <c r="F340" s="60"/>
      <c r="G340" s="60"/>
      <c r="H340" s="60"/>
      <c r="I340" s="60"/>
      <c r="J340" s="60"/>
      <c r="K340" s="60"/>
      <c r="L340" s="60"/>
    </row>
    <row r="341" spans="4:12" x14ac:dyDescent="0.25">
      <c r="D341" s="60"/>
      <c r="E341" s="60"/>
      <c r="F341" s="60"/>
      <c r="G341" s="60"/>
      <c r="H341" s="60"/>
      <c r="I341" s="60"/>
      <c r="J341" s="60"/>
      <c r="K341" s="60"/>
      <c r="L341" s="60"/>
    </row>
    <row r="342" spans="4:12" x14ac:dyDescent="0.25">
      <c r="D342" s="60"/>
      <c r="E342" s="60"/>
      <c r="F342" s="60"/>
      <c r="G342" s="60"/>
      <c r="H342" s="60"/>
      <c r="I342" s="60"/>
      <c r="J342" s="60"/>
      <c r="K342" s="60"/>
      <c r="L342" s="60"/>
    </row>
    <row r="343" spans="4:12" x14ac:dyDescent="0.25">
      <c r="D343" s="60"/>
      <c r="E343" s="60"/>
      <c r="F343" s="60"/>
      <c r="G343" s="60"/>
      <c r="H343" s="60"/>
      <c r="I343" s="60"/>
      <c r="J343" s="60"/>
      <c r="K343" s="60"/>
      <c r="L343" s="60"/>
    </row>
    <row r="344" spans="4:12" x14ac:dyDescent="0.25">
      <c r="D344" s="60"/>
      <c r="E344" s="60"/>
      <c r="F344" s="60"/>
      <c r="G344" s="60"/>
      <c r="H344" s="60"/>
      <c r="I344" s="60"/>
      <c r="J344" s="60"/>
      <c r="K344" s="60"/>
      <c r="L344" s="60"/>
    </row>
    <row r="345" spans="4:12" x14ac:dyDescent="0.25">
      <c r="D345" s="60"/>
      <c r="E345" s="60"/>
      <c r="F345" s="60"/>
      <c r="G345" s="60"/>
      <c r="H345" s="60"/>
      <c r="I345" s="60"/>
      <c r="J345" s="60"/>
      <c r="K345" s="60"/>
      <c r="L345" s="60"/>
    </row>
    <row r="346" spans="4:12" x14ac:dyDescent="0.25">
      <c r="D346" s="60"/>
      <c r="E346" s="60"/>
      <c r="F346" s="60"/>
      <c r="G346" s="60"/>
      <c r="H346" s="60"/>
      <c r="I346" s="60"/>
      <c r="J346" s="60"/>
      <c r="K346" s="60"/>
      <c r="L346" s="60"/>
    </row>
    <row r="347" spans="4:12" x14ac:dyDescent="0.25">
      <c r="D347" s="60"/>
      <c r="E347" s="60"/>
      <c r="F347" s="60"/>
      <c r="G347" s="60"/>
      <c r="H347" s="60"/>
      <c r="I347" s="60"/>
      <c r="J347" s="60"/>
      <c r="K347" s="60"/>
      <c r="L347" s="60"/>
    </row>
    <row r="348" spans="4:12" x14ac:dyDescent="0.25">
      <c r="D348" s="60"/>
      <c r="E348" s="60"/>
      <c r="F348" s="60"/>
      <c r="G348" s="60"/>
      <c r="H348" s="60"/>
      <c r="I348" s="60"/>
      <c r="J348" s="60"/>
      <c r="K348" s="60"/>
      <c r="L348" s="60"/>
    </row>
    <row r="349" spans="4:12" x14ac:dyDescent="0.25">
      <c r="D349" s="60"/>
      <c r="E349" s="60"/>
      <c r="F349" s="60"/>
      <c r="G349" s="60"/>
      <c r="H349" s="60"/>
      <c r="I349" s="60"/>
      <c r="J349" s="60"/>
      <c r="K349" s="60"/>
      <c r="L349" s="60"/>
    </row>
    <row r="350" spans="4:12" x14ac:dyDescent="0.25">
      <c r="D350" s="60"/>
      <c r="E350" s="60"/>
      <c r="F350" s="60"/>
      <c r="G350" s="60"/>
      <c r="H350" s="60"/>
      <c r="I350" s="60"/>
      <c r="J350" s="60"/>
      <c r="K350" s="60"/>
      <c r="L350" s="60"/>
    </row>
    <row r="351" spans="4:12" x14ac:dyDescent="0.25">
      <c r="D351" s="60"/>
      <c r="E351" s="60"/>
      <c r="F351" s="60"/>
      <c r="G351" s="60"/>
      <c r="H351" s="60"/>
      <c r="I351" s="60"/>
      <c r="J351" s="60"/>
      <c r="K351" s="60"/>
      <c r="L351" s="60"/>
    </row>
    <row r="352" spans="4:12" x14ac:dyDescent="0.25">
      <c r="D352" s="60"/>
      <c r="E352" s="60"/>
      <c r="F352" s="60"/>
      <c r="G352" s="60"/>
      <c r="H352" s="60"/>
      <c r="I352" s="60"/>
      <c r="J352" s="60"/>
      <c r="K352" s="60"/>
      <c r="L352" s="60"/>
    </row>
    <row r="353" spans="4:12" x14ac:dyDescent="0.25">
      <c r="D353" s="60"/>
      <c r="E353" s="60"/>
      <c r="F353" s="60"/>
      <c r="G353" s="60"/>
      <c r="H353" s="60"/>
      <c r="I353" s="60"/>
      <c r="J353" s="60"/>
      <c r="K353" s="60"/>
      <c r="L353" s="60"/>
    </row>
    <row r="354" spans="4:12" x14ac:dyDescent="0.25">
      <c r="D354" s="60"/>
      <c r="E354" s="60"/>
      <c r="F354" s="60"/>
      <c r="G354" s="60"/>
      <c r="H354" s="60"/>
      <c r="I354" s="60"/>
      <c r="J354" s="60"/>
      <c r="K354" s="60"/>
      <c r="L354" s="60"/>
    </row>
    <row r="355" spans="4:12" x14ac:dyDescent="0.25">
      <c r="D355" s="60"/>
      <c r="E355" s="60"/>
      <c r="F355" s="60"/>
      <c r="G355" s="60"/>
      <c r="H355" s="60"/>
      <c r="I355" s="60"/>
      <c r="J355" s="60"/>
      <c r="K355" s="60"/>
      <c r="L355" s="60"/>
    </row>
    <row r="356" spans="4:12" x14ac:dyDescent="0.25">
      <c r="D356" s="60"/>
      <c r="E356" s="60"/>
      <c r="F356" s="60"/>
      <c r="G356" s="60"/>
      <c r="H356" s="60"/>
      <c r="I356" s="60"/>
      <c r="J356" s="60"/>
      <c r="K356" s="60"/>
      <c r="L356" s="60"/>
    </row>
    <row r="357" spans="4:12" x14ac:dyDescent="0.25">
      <c r="D357" s="60"/>
      <c r="E357" s="60"/>
      <c r="F357" s="60"/>
      <c r="G357" s="60"/>
      <c r="H357" s="60"/>
      <c r="I357" s="60"/>
      <c r="J357" s="60"/>
      <c r="K357" s="60"/>
      <c r="L357" s="60"/>
    </row>
    <row r="358" spans="4:12" x14ac:dyDescent="0.25">
      <c r="D358" s="60"/>
      <c r="E358" s="60"/>
      <c r="F358" s="60"/>
      <c r="G358" s="60"/>
      <c r="H358" s="60"/>
      <c r="I358" s="60"/>
      <c r="J358" s="60"/>
      <c r="K358" s="60"/>
      <c r="L358" s="60"/>
    </row>
    <row r="359" spans="4:12" x14ac:dyDescent="0.25">
      <c r="D359" s="60"/>
      <c r="E359" s="60"/>
      <c r="F359" s="60"/>
      <c r="G359" s="60"/>
      <c r="H359" s="60"/>
      <c r="I359" s="60"/>
      <c r="J359" s="60"/>
      <c r="K359" s="60"/>
      <c r="L359" s="60"/>
    </row>
    <row r="360" spans="4:12" x14ac:dyDescent="0.25">
      <c r="D360" s="60"/>
      <c r="E360" s="60"/>
      <c r="F360" s="60"/>
      <c r="G360" s="60"/>
      <c r="H360" s="60"/>
      <c r="I360" s="60"/>
      <c r="J360" s="60"/>
      <c r="K360" s="60"/>
      <c r="L360" s="60"/>
    </row>
    <row r="361" spans="4:12" x14ac:dyDescent="0.25">
      <c r="D361" s="60"/>
      <c r="E361" s="60"/>
      <c r="F361" s="60"/>
      <c r="G361" s="60"/>
      <c r="H361" s="60"/>
      <c r="I361" s="60"/>
      <c r="J361" s="60"/>
      <c r="K361" s="60"/>
      <c r="L361" s="60"/>
    </row>
    <row r="362" spans="4:12" x14ac:dyDescent="0.25">
      <c r="D362" s="60"/>
      <c r="E362" s="60"/>
      <c r="F362" s="60"/>
      <c r="G362" s="60"/>
      <c r="H362" s="60"/>
      <c r="I362" s="60"/>
      <c r="J362" s="60"/>
      <c r="K362" s="60"/>
      <c r="L362" s="60"/>
    </row>
    <row r="363" spans="4:12" x14ac:dyDescent="0.25">
      <c r="D363" s="60"/>
      <c r="E363" s="60"/>
      <c r="F363" s="60"/>
      <c r="G363" s="60"/>
      <c r="H363" s="60"/>
      <c r="I363" s="60"/>
      <c r="J363" s="60"/>
      <c r="K363" s="60"/>
      <c r="L363" s="60"/>
    </row>
    <row r="364" spans="4:12" x14ac:dyDescent="0.25">
      <c r="D364" s="60"/>
      <c r="E364" s="60"/>
      <c r="F364" s="60"/>
      <c r="G364" s="60"/>
      <c r="H364" s="60"/>
      <c r="I364" s="60"/>
      <c r="J364" s="60"/>
      <c r="K364" s="60"/>
      <c r="L364" s="60"/>
    </row>
    <row r="365" spans="4:12" x14ac:dyDescent="0.25">
      <c r="D365" s="60"/>
      <c r="E365" s="60"/>
      <c r="F365" s="60"/>
      <c r="G365" s="60"/>
      <c r="H365" s="60"/>
      <c r="I365" s="60"/>
      <c r="J365" s="60"/>
      <c r="K365" s="60"/>
      <c r="L365" s="60"/>
    </row>
    <row r="366" spans="4:12" x14ac:dyDescent="0.25">
      <c r="D366" s="60"/>
      <c r="E366" s="60"/>
      <c r="F366" s="60"/>
      <c r="G366" s="60"/>
      <c r="H366" s="60"/>
      <c r="I366" s="60"/>
      <c r="J366" s="60"/>
      <c r="K366" s="60"/>
      <c r="L366" s="60"/>
    </row>
    <row r="367" spans="4:12" x14ac:dyDescent="0.25">
      <c r="D367" s="60"/>
      <c r="E367" s="60"/>
      <c r="F367" s="60"/>
      <c r="G367" s="60"/>
      <c r="H367" s="60"/>
      <c r="I367" s="60"/>
      <c r="J367" s="60"/>
      <c r="K367" s="60"/>
      <c r="L367" s="60"/>
    </row>
    <row r="368" spans="4:12" x14ac:dyDescent="0.25">
      <c r="D368" s="60"/>
      <c r="E368" s="60"/>
      <c r="F368" s="60"/>
      <c r="G368" s="60"/>
      <c r="H368" s="60"/>
      <c r="I368" s="60"/>
      <c r="J368" s="60"/>
      <c r="K368" s="60"/>
      <c r="L368" s="60"/>
    </row>
    <row r="369" spans="4:12" x14ac:dyDescent="0.25">
      <c r="D369" s="60"/>
      <c r="E369" s="60"/>
      <c r="F369" s="60"/>
      <c r="G369" s="60"/>
      <c r="H369" s="60"/>
      <c r="I369" s="60"/>
      <c r="J369" s="60"/>
      <c r="K369" s="60"/>
      <c r="L369" s="60"/>
    </row>
    <row r="370" spans="4:12" x14ac:dyDescent="0.25">
      <c r="D370" s="60"/>
      <c r="E370" s="60"/>
      <c r="F370" s="60"/>
      <c r="G370" s="60"/>
      <c r="H370" s="60"/>
      <c r="I370" s="60"/>
      <c r="J370" s="60"/>
      <c r="K370" s="60"/>
      <c r="L370" s="60"/>
    </row>
    <row r="371" spans="4:12" x14ac:dyDescent="0.25">
      <c r="D371" s="60"/>
      <c r="E371" s="60"/>
      <c r="F371" s="60"/>
      <c r="G371" s="60"/>
      <c r="H371" s="60"/>
      <c r="I371" s="60"/>
      <c r="J371" s="60"/>
      <c r="K371" s="60"/>
      <c r="L371" s="60"/>
    </row>
    <row r="372" spans="4:12" x14ac:dyDescent="0.25">
      <c r="D372" s="60"/>
      <c r="E372" s="60"/>
      <c r="F372" s="60"/>
      <c r="G372" s="60"/>
      <c r="H372" s="60"/>
      <c r="I372" s="60"/>
      <c r="J372" s="60"/>
      <c r="K372" s="60"/>
      <c r="L372" s="60"/>
    </row>
    <row r="373" spans="4:12" x14ac:dyDescent="0.25">
      <c r="D373" s="60"/>
      <c r="E373" s="60"/>
      <c r="F373" s="60"/>
      <c r="G373" s="60"/>
      <c r="H373" s="60"/>
      <c r="I373" s="60"/>
      <c r="J373" s="60"/>
      <c r="K373" s="60"/>
      <c r="L373" s="60"/>
    </row>
    <row r="374" spans="4:12" x14ac:dyDescent="0.25">
      <c r="D374" s="60"/>
      <c r="E374" s="60"/>
      <c r="F374" s="60"/>
      <c r="G374" s="60"/>
      <c r="H374" s="60"/>
      <c r="I374" s="60"/>
      <c r="J374" s="60"/>
      <c r="K374" s="60"/>
      <c r="L374" s="60"/>
    </row>
    <row r="375" spans="4:12" x14ac:dyDescent="0.25">
      <c r="D375" s="60"/>
      <c r="E375" s="60"/>
      <c r="F375" s="60"/>
      <c r="G375" s="60"/>
      <c r="H375" s="60"/>
      <c r="I375" s="60"/>
      <c r="J375" s="60"/>
      <c r="K375" s="60"/>
      <c r="L375" s="60"/>
    </row>
    <row r="376" spans="4:12" x14ac:dyDescent="0.25">
      <c r="D376" s="60"/>
      <c r="E376" s="60"/>
      <c r="F376" s="60"/>
      <c r="G376" s="60"/>
      <c r="H376" s="60"/>
      <c r="I376" s="60"/>
      <c r="J376" s="60"/>
      <c r="K376" s="60"/>
      <c r="L376" s="60"/>
    </row>
    <row r="377" spans="4:12" x14ac:dyDescent="0.25">
      <c r="D377" s="60"/>
      <c r="E377" s="60"/>
      <c r="F377" s="60"/>
      <c r="G377" s="60"/>
      <c r="H377" s="60"/>
      <c r="I377" s="60"/>
      <c r="J377" s="60"/>
      <c r="K377" s="60"/>
      <c r="L377" s="60"/>
    </row>
    <row r="378" spans="4:12" x14ac:dyDescent="0.25">
      <c r="D378" s="60"/>
      <c r="E378" s="60"/>
      <c r="F378" s="60"/>
      <c r="G378" s="60"/>
      <c r="H378" s="60"/>
      <c r="I378" s="60"/>
      <c r="J378" s="60"/>
      <c r="K378" s="60"/>
      <c r="L378" s="60"/>
    </row>
    <row r="379" spans="4:12" x14ac:dyDescent="0.25">
      <c r="D379" s="60"/>
      <c r="E379" s="60"/>
      <c r="F379" s="60"/>
      <c r="G379" s="60"/>
      <c r="H379" s="60"/>
      <c r="I379" s="60"/>
      <c r="J379" s="60"/>
      <c r="K379" s="60"/>
      <c r="L379" s="60"/>
    </row>
    <row r="380" spans="4:12" x14ac:dyDescent="0.25">
      <c r="D380" s="60"/>
      <c r="E380" s="60"/>
      <c r="F380" s="60"/>
      <c r="G380" s="60"/>
      <c r="H380" s="60"/>
      <c r="I380" s="60"/>
      <c r="J380" s="60"/>
      <c r="K380" s="60"/>
      <c r="L380" s="60"/>
    </row>
    <row r="381" spans="4:12" x14ac:dyDescent="0.25">
      <c r="D381" s="60"/>
      <c r="E381" s="60"/>
      <c r="F381" s="60"/>
      <c r="G381" s="60"/>
      <c r="H381" s="60"/>
      <c r="I381" s="60"/>
      <c r="J381" s="60"/>
      <c r="K381" s="60"/>
      <c r="L381" s="60"/>
    </row>
    <row r="382" spans="4:12" x14ac:dyDescent="0.25">
      <c r="D382" s="60"/>
      <c r="E382" s="60"/>
      <c r="F382" s="60"/>
      <c r="G382" s="60"/>
      <c r="H382" s="60"/>
      <c r="I382" s="60"/>
      <c r="J382" s="60"/>
      <c r="K382" s="60"/>
      <c r="L382" s="60"/>
    </row>
    <row r="383" spans="4:12" x14ac:dyDescent="0.25">
      <c r="D383" s="60"/>
      <c r="E383" s="60"/>
      <c r="F383" s="60"/>
      <c r="G383" s="60"/>
      <c r="H383" s="60"/>
      <c r="I383" s="60"/>
      <c r="J383" s="60"/>
      <c r="K383" s="60"/>
      <c r="L383" s="60"/>
    </row>
    <row r="384" spans="4:12" x14ac:dyDescent="0.25">
      <c r="D384" s="60"/>
      <c r="E384" s="60"/>
      <c r="F384" s="60"/>
      <c r="G384" s="60"/>
      <c r="H384" s="60"/>
      <c r="I384" s="60"/>
      <c r="J384" s="60"/>
      <c r="K384" s="60"/>
      <c r="L384" s="60"/>
    </row>
    <row r="385" spans="4:12" x14ac:dyDescent="0.25">
      <c r="D385" s="60"/>
      <c r="E385" s="60"/>
      <c r="F385" s="60"/>
      <c r="G385" s="60"/>
      <c r="H385" s="60"/>
      <c r="I385" s="60"/>
      <c r="J385" s="60"/>
      <c r="K385" s="60"/>
      <c r="L385" s="60"/>
    </row>
    <row r="386" spans="4:12" x14ac:dyDescent="0.25">
      <c r="D386" s="60"/>
      <c r="E386" s="60"/>
      <c r="F386" s="60"/>
      <c r="G386" s="60"/>
      <c r="H386" s="60"/>
      <c r="I386" s="60"/>
      <c r="J386" s="60"/>
      <c r="K386" s="60"/>
      <c r="L386" s="60"/>
    </row>
    <row r="387" spans="4:12" x14ac:dyDescent="0.25">
      <c r="D387" s="60"/>
      <c r="E387" s="60"/>
      <c r="F387" s="60"/>
      <c r="G387" s="60"/>
      <c r="H387" s="60"/>
      <c r="I387" s="60"/>
      <c r="J387" s="60"/>
      <c r="K387" s="60"/>
      <c r="L387" s="60"/>
    </row>
    <row r="388" spans="4:12" x14ac:dyDescent="0.25">
      <c r="D388" s="60"/>
      <c r="E388" s="60"/>
      <c r="F388" s="60"/>
      <c r="G388" s="60"/>
      <c r="H388" s="60"/>
      <c r="I388" s="60"/>
      <c r="J388" s="60"/>
      <c r="K388" s="60"/>
      <c r="L388" s="60"/>
    </row>
    <row r="389" spans="4:12" x14ac:dyDescent="0.25">
      <c r="D389" s="60"/>
      <c r="E389" s="60"/>
      <c r="F389" s="60"/>
      <c r="G389" s="60"/>
      <c r="H389" s="60"/>
      <c r="I389" s="60"/>
      <c r="J389" s="60"/>
      <c r="K389" s="60"/>
      <c r="L389" s="60"/>
    </row>
    <row r="390" spans="4:12" x14ac:dyDescent="0.25">
      <c r="D390" s="60"/>
      <c r="E390" s="60"/>
      <c r="F390" s="60"/>
      <c r="G390" s="60"/>
      <c r="H390" s="60"/>
      <c r="I390" s="60"/>
      <c r="J390" s="60"/>
      <c r="K390" s="60"/>
      <c r="L390" s="60"/>
    </row>
    <row r="391" spans="4:12" x14ac:dyDescent="0.25">
      <c r="D391" s="60"/>
      <c r="E391" s="60"/>
      <c r="F391" s="60"/>
      <c r="G391" s="60"/>
      <c r="H391" s="60"/>
      <c r="I391" s="60"/>
      <c r="J391" s="60"/>
      <c r="K391" s="60"/>
      <c r="L391" s="60"/>
    </row>
    <row r="392" spans="4:12" x14ac:dyDescent="0.25">
      <c r="D392" s="60"/>
      <c r="E392" s="60"/>
      <c r="F392" s="60"/>
      <c r="G392" s="60"/>
      <c r="H392" s="60"/>
      <c r="I392" s="60"/>
      <c r="J392" s="60"/>
      <c r="K392" s="60"/>
      <c r="L392" s="60"/>
    </row>
    <row r="393" spans="4:12" x14ac:dyDescent="0.25">
      <c r="D393" s="60"/>
      <c r="E393" s="60"/>
      <c r="F393" s="60"/>
      <c r="G393" s="60"/>
      <c r="H393" s="60"/>
      <c r="I393" s="60"/>
      <c r="J393" s="60"/>
      <c r="K393" s="60"/>
      <c r="L393" s="60"/>
    </row>
    <row r="394" spans="4:12" x14ac:dyDescent="0.25">
      <c r="D394" s="60"/>
      <c r="E394" s="60"/>
      <c r="F394" s="60"/>
      <c r="G394" s="60"/>
      <c r="H394" s="60"/>
      <c r="I394" s="60"/>
      <c r="J394" s="60"/>
      <c r="K394" s="60"/>
      <c r="L394" s="60"/>
    </row>
    <row r="395" spans="4:12" x14ac:dyDescent="0.25">
      <c r="D395" s="60"/>
      <c r="E395" s="60"/>
      <c r="F395" s="60"/>
      <c r="G395" s="60"/>
      <c r="H395" s="60"/>
      <c r="I395" s="60"/>
      <c r="J395" s="60"/>
      <c r="K395" s="60"/>
      <c r="L395" s="60"/>
    </row>
    <row r="396" spans="4:12" x14ac:dyDescent="0.25">
      <c r="D396" s="60"/>
      <c r="E396" s="60"/>
      <c r="F396" s="60"/>
      <c r="G396" s="60"/>
      <c r="H396" s="60"/>
      <c r="I396" s="60"/>
      <c r="J396" s="60"/>
      <c r="K396" s="60"/>
      <c r="L396" s="60"/>
    </row>
    <row r="397" spans="4:12" x14ac:dyDescent="0.25">
      <c r="D397" s="60"/>
      <c r="E397" s="60"/>
      <c r="F397" s="60"/>
      <c r="G397" s="60"/>
      <c r="H397" s="60"/>
      <c r="I397" s="60"/>
      <c r="J397" s="60"/>
      <c r="K397" s="60"/>
      <c r="L397" s="60"/>
    </row>
    <row r="398" spans="4:12" x14ac:dyDescent="0.25">
      <c r="D398" s="60"/>
      <c r="E398" s="60"/>
      <c r="F398" s="60"/>
      <c r="G398" s="60"/>
      <c r="H398" s="60"/>
      <c r="I398" s="60"/>
      <c r="J398" s="60"/>
      <c r="K398" s="60"/>
      <c r="L398" s="60"/>
    </row>
    <row r="399" spans="4:12" x14ac:dyDescent="0.25">
      <c r="D399" s="60"/>
      <c r="E399" s="60"/>
      <c r="F399" s="60"/>
      <c r="G399" s="60"/>
      <c r="H399" s="60"/>
      <c r="I399" s="60"/>
      <c r="J399" s="60"/>
      <c r="K399" s="60"/>
      <c r="L399" s="60"/>
    </row>
    <row r="400" spans="4:12" x14ac:dyDescent="0.25">
      <c r="D400" s="60"/>
      <c r="E400" s="60"/>
      <c r="F400" s="60"/>
      <c r="G400" s="60"/>
      <c r="H400" s="60"/>
      <c r="I400" s="60"/>
      <c r="J400" s="60"/>
      <c r="K400" s="60"/>
      <c r="L400" s="60"/>
    </row>
    <row r="401" spans="4:12" x14ac:dyDescent="0.25">
      <c r="D401" s="60"/>
      <c r="E401" s="60"/>
      <c r="F401" s="60"/>
      <c r="G401" s="60"/>
      <c r="H401" s="60"/>
      <c r="I401" s="60"/>
      <c r="J401" s="60"/>
      <c r="K401" s="60"/>
      <c r="L401" s="60"/>
    </row>
    <row r="402" spans="4:12" x14ac:dyDescent="0.25">
      <c r="D402" s="60"/>
      <c r="E402" s="60"/>
      <c r="F402" s="60"/>
      <c r="G402" s="60"/>
      <c r="H402" s="60"/>
      <c r="I402" s="60"/>
      <c r="J402" s="60"/>
      <c r="K402" s="60"/>
      <c r="L402" s="60"/>
    </row>
    <row r="403" spans="4:12" x14ac:dyDescent="0.25">
      <c r="D403" s="60"/>
      <c r="E403" s="60"/>
      <c r="F403" s="60"/>
      <c r="G403" s="60"/>
      <c r="H403" s="60"/>
      <c r="I403" s="60"/>
      <c r="J403" s="60"/>
      <c r="K403" s="60"/>
      <c r="L403" s="60"/>
    </row>
    <row r="404" spans="4:12" x14ac:dyDescent="0.25">
      <c r="D404" s="60"/>
      <c r="E404" s="60"/>
      <c r="F404" s="60"/>
      <c r="G404" s="60"/>
      <c r="H404" s="60"/>
      <c r="I404" s="60"/>
      <c r="J404" s="60"/>
      <c r="K404" s="60"/>
      <c r="L404" s="60"/>
    </row>
    <row r="405" spans="4:12" x14ac:dyDescent="0.25">
      <c r="D405" s="60"/>
      <c r="E405" s="60"/>
      <c r="F405" s="60"/>
      <c r="G405" s="60"/>
      <c r="H405" s="60"/>
      <c r="I405" s="60"/>
      <c r="J405" s="60"/>
      <c r="K405" s="60"/>
      <c r="L405" s="60"/>
    </row>
    <row r="406" spans="4:12" x14ac:dyDescent="0.25">
      <c r="D406" s="60"/>
      <c r="E406" s="60"/>
      <c r="F406" s="60"/>
      <c r="G406" s="60"/>
      <c r="H406" s="60"/>
      <c r="I406" s="60"/>
      <c r="J406" s="60"/>
      <c r="K406" s="60"/>
      <c r="L406" s="60"/>
    </row>
    <row r="407" spans="4:12" x14ac:dyDescent="0.25">
      <c r="D407" s="60"/>
      <c r="E407" s="60"/>
      <c r="F407" s="60"/>
      <c r="G407" s="60"/>
      <c r="H407" s="60"/>
      <c r="I407" s="60"/>
      <c r="J407" s="60"/>
      <c r="K407" s="60"/>
      <c r="L407" s="60"/>
    </row>
    <row r="408" spans="4:12" x14ac:dyDescent="0.25">
      <c r="D408" s="60"/>
      <c r="E408" s="60"/>
      <c r="F408" s="60"/>
      <c r="G408" s="60"/>
      <c r="H408" s="60"/>
      <c r="I408" s="60"/>
      <c r="J408" s="60"/>
      <c r="K408" s="60"/>
      <c r="L408" s="60"/>
    </row>
    <row r="409" spans="4:12" x14ac:dyDescent="0.25">
      <c r="D409" s="60"/>
      <c r="E409" s="60"/>
      <c r="F409" s="60"/>
      <c r="G409" s="60"/>
      <c r="H409" s="60"/>
      <c r="I409" s="60"/>
      <c r="J409" s="60"/>
      <c r="K409" s="60"/>
      <c r="L409" s="60"/>
    </row>
    <row r="410" spans="4:12" x14ac:dyDescent="0.25">
      <c r="D410" s="60"/>
      <c r="E410" s="60"/>
      <c r="F410" s="60"/>
      <c r="G410" s="60"/>
      <c r="H410" s="60"/>
      <c r="I410" s="60"/>
      <c r="J410" s="60"/>
      <c r="K410" s="60"/>
      <c r="L410" s="60"/>
    </row>
    <row r="411" spans="4:12" x14ac:dyDescent="0.25">
      <c r="D411" s="60"/>
      <c r="E411" s="60"/>
      <c r="F411" s="60"/>
      <c r="G411" s="60"/>
      <c r="H411" s="60"/>
      <c r="I411" s="60"/>
      <c r="J411" s="60"/>
      <c r="K411" s="60"/>
      <c r="L411" s="60"/>
    </row>
    <row r="412" spans="4:12" x14ac:dyDescent="0.25">
      <c r="D412" s="60"/>
      <c r="E412" s="60"/>
      <c r="F412" s="60"/>
      <c r="G412" s="60"/>
      <c r="H412" s="60"/>
      <c r="I412" s="60"/>
      <c r="J412" s="60"/>
      <c r="K412" s="60"/>
      <c r="L412" s="60"/>
    </row>
    <row r="413" spans="4:12" x14ac:dyDescent="0.25">
      <c r="D413" s="60"/>
      <c r="E413" s="60"/>
      <c r="F413" s="60"/>
      <c r="G413" s="60"/>
      <c r="H413" s="60"/>
      <c r="I413" s="60"/>
      <c r="J413" s="60"/>
      <c r="K413" s="60"/>
      <c r="L413" s="60"/>
    </row>
    <row r="414" spans="4:12" x14ac:dyDescent="0.25">
      <c r="D414" s="60"/>
      <c r="E414" s="60"/>
      <c r="F414" s="60"/>
      <c r="G414" s="60"/>
      <c r="H414" s="60"/>
      <c r="I414" s="60"/>
      <c r="J414" s="60"/>
      <c r="K414" s="60"/>
      <c r="L414" s="60"/>
    </row>
    <row r="415" spans="4:12" x14ac:dyDescent="0.25">
      <c r="D415" s="60"/>
      <c r="E415" s="60"/>
      <c r="F415" s="60"/>
      <c r="G415" s="60"/>
      <c r="H415" s="60"/>
      <c r="I415" s="60"/>
      <c r="J415" s="60"/>
      <c r="K415" s="60"/>
      <c r="L415" s="60"/>
    </row>
    <row r="416" spans="4:12" x14ac:dyDescent="0.25">
      <c r="D416" s="60"/>
      <c r="E416" s="60"/>
      <c r="F416" s="60"/>
      <c r="G416" s="60"/>
      <c r="H416" s="60"/>
      <c r="I416" s="60"/>
      <c r="J416" s="60"/>
      <c r="K416" s="60"/>
      <c r="L416" s="60"/>
    </row>
    <row r="417" spans="4:12" x14ac:dyDescent="0.25">
      <c r="D417" s="60"/>
      <c r="E417" s="60"/>
      <c r="F417" s="60"/>
      <c r="G417" s="60"/>
      <c r="H417" s="60"/>
      <c r="I417" s="60"/>
      <c r="J417" s="60"/>
      <c r="K417" s="60"/>
      <c r="L417" s="60"/>
    </row>
    <row r="418" spans="4:12" x14ac:dyDescent="0.25">
      <c r="D418" s="60"/>
      <c r="E418" s="60"/>
      <c r="F418" s="60"/>
      <c r="G418" s="60"/>
      <c r="H418" s="60"/>
      <c r="I418" s="60"/>
      <c r="J418" s="60"/>
      <c r="K418" s="60"/>
      <c r="L418" s="60"/>
    </row>
    <row r="419" spans="4:12" x14ac:dyDescent="0.25">
      <c r="D419" s="60"/>
      <c r="E419" s="60"/>
      <c r="F419" s="60"/>
      <c r="G419" s="60"/>
      <c r="H419" s="60"/>
      <c r="I419" s="60"/>
      <c r="J419" s="60"/>
      <c r="K419" s="60"/>
      <c r="L419" s="60"/>
    </row>
    <row r="420" spans="4:12" x14ac:dyDescent="0.25">
      <c r="D420" s="60"/>
      <c r="E420" s="60"/>
      <c r="F420" s="60"/>
      <c r="G420" s="60"/>
      <c r="H420" s="60"/>
      <c r="I420" s="60"/>
      <c r="J420" s="60"/>
      <c r="K420" s="60"/>
      <c r="L420" s="60"/>
    </row>
    <row r="421" spans="4:12" x14ac:dyDescent="0.25">
      <c r="D421" s="60"/>
      <c r="E421" s="60"/>
      <c r="F421" s="60"/>
      <c r="G421" s="60"/>
      <c r="H421" s="60"/>
      <c r="I421" s="60"/>
      <c r="J421" s="60"/>
      <c r="K421" s="60"/>
      <c r="L421" s="60"/>
    </row>
    <row r="422" spans="4:12" x14ac:dyDescent="0.25">
      <c r="D422" s="60"/>
      <c r="E422" s="60"/>
      <c r="F422" s="60"/>
      <c r="G422" s="60"/>
      <c r="H422" s="60"/>
      <c r="I422" s="60"/>
      <c r="J422" s="60"/>
      <c r="K422" s="60"/>
      <c r="L422" s="60"/>
    </row>
    <row r="423" spans="4:12" x14ac:dyDescent="0.25">
      <c r="D423" s="60"/>
      <c r="E423" s="60"/>
      <c r="F423" s="60"/>
      <c r="G423" s="60"/>
      <c r="H423" s="60"/>
      <c r="I423" s="60"/>
      <c r="J423" s="60"/>
      <c r="K423" s="60"/>
      <c r="L423" s="60"/>
    </row>
    <row r="424" spans="4:12" x14ac:dyDescent="0.25">
      <c r="D424" s="60"/>
      <c r="E424" s="60"/>
      <c r="F424" s="60"/>
      <c r="G424" s="60"/>
      <c r="H424" s="60"/>
      <c r="I424" s="60"/>
      <c r="J424" s="60"/>
      <c r="K424" s="60"/>
      <c r="L424" s="60"/>
    </row>
    <row r="425" spans="4:12" x14ac:dyDescent="0.25">
      <c r="D425" s="60"/>
      <c r="E425" s="60"/>
      <c r="F425" s="60"/>
      <c r="G425" s="60"/>
      <c r="H425" s="60"/>
      <c r="I425" s="60"/>
      <c r="J425" s="60"/>
      <c r="K425" s="60"/>
      <c r="L425" s="60"/>
    </row>
    <row r="426" spans="4:12" x14ac:dyDescent="0.25">
      <c r="D426" s="60"/>
      <c r="E426" s="60"/>
      <c r="F426" s="60"/>
      <c r="G426" s="60"/>
      <c r="H426" s="60"/>
      <c r="I426" s="60"/>
      <c r="J426" s="60"/>
      <c r="K426" s="60"/>
      <c r="L426" s="60"/>
    </row>
    <row r="427" spans="4:12" x14ac:dyDescent="0.25">
      <c r="D427" s="60"/>
      <c r="E427" s="60"/>
      <c r="F427" s="60"/>
      <c r="G427" s="60"/>
      <c r="H427" s="60"/>
      <c r="I427" s="60"/>
      <c r="J427" s="60"/>
      <c r="K427" s="60"/>
      <c r="L427" s="60"/>
    </row>
    <row r="428" spans="4:12" x14ac:dyDescent="0.25">
      <c r="D428" s="60"/>
      <c r="E428" s="60"/>
      <c r="F428" s="60"/>
      <c r="G428" s="60"/>
      <c r="H428" s="60"/>
      <c r="I428" s="60"/>
      <c r="J428" s="60"/>
      <c r="K428" s="60"/>
      <c r="L428" s="60"/>
    </row>
    <row r="429" spans="4:12" x14ac:dyDescent="0.25">
      <c r="D429" s="60"/>
      <c r="E429" s="60"/>
      <c r="F429" s="60"/>
      <c r="G429" s="60"/>
      <c r="H429" s="60"/>
      <c r="I429" s="60"/>
      <c r="J429" s="60"/>
      <c r="K429" s="60"/>
      <c r="L429" s="60"/>
    </row>
    <row r="430" spans="4:12" x14ac:dyDescent="0.25">
      <c r="D430" s="60"/>
      <c r="E430" s="60"/>
      <c r="F430" s="60"/>
      <c r="G430" s="60"/>
      <c r="H430" s="60"/>
      <c r="I430" s="60"/>
      <c r="J430" s="60"/>
      <c r="K430" s="60"/>
      <c r="L430" s="60"/>
    </row>
    <row r="431" spans="4:12" x14ac:dyDescent="0.25">
      <c r="D431" s="60"/>
      <c r="E431" s="60"/>
      <c r="F431" s="60"/>
      <c r="G431" s="60"/>
      <c r="H431" s="60"/>
      <c r="I431" s="60"/>
      <c r="J431" s="60"/>
      <c r="K431" s="60"/>
      <c r="L431" s="60"/>
    </row>
    <row r="432" spans="4:12" x14ac:dyDescent="0.25">
      <c r="D432" s="60"/>
      <c r="E432" s="60"/>
      <c r="F432" s="60"/>
      <c r="G432" s="60"/>
      <c r="H432" s="60"/>
      <c r="I432" s="60"/>
      <c r="J432" s="60"/>
      <c r="K432" s="60"/>
      <c r="L432" s="60"/>
    </row>
    <row r="433" spans="4:12" x14ac:dyDescent="0.25">
      <c r="D433" s="60"/>
      <c r="E433" s="60"/>
      <c r="F433" s="60"/>
      <c r="G433" s="60"/>
      <c r="H433" s="60"/>
      <c r="I433" s="60"/>
      <c r="J433" s="60"/>
      <c r="K433" s="60"/>
      <c r="L433" s="60"/>
    </row>
    <row r="434" spans="4:12" x14ac:dyDescent="0.25">
      <c r="D434" s="60"/>
      <c r="E434" s="60"/>
      <c r="F434" s="60"/>
      <c r="G434" s="60"/>
      <c r="H434" s="60"/>
      <c r="I434" s="60"/>
      <c r="J434" s="60"/>
      <c r="K434" s="60"/>
      <c r="L434" s="60"/>
    </row>
    <row r="435" spans="4:12" x14ac:dyDescent="0.25">
      <c r="D435" s="60"/>
      <c r="E435" s="60"/>
      <c r="F435" s="60"/>
      <c r="G435" s="60"/>
      <c r="H435" s="60"/>
      <c r="I435" s="60"/>
      <c r="J435" s="60"/>
      <c r="K435" s="60"/>
      <c r="L435" s="60"/>
    </row>
    <row r="436" spans="4:12" x14ac:dyDescent="0.25">
      <c r="D436" s="60"/>
      <c r="E436" s="60"/>
      <c r="F436" s="60"/>
      <c r="G436" s="60"/>
      <c r="H436" s="60"/>
      <c r="I436" s="60"/>
      <c r="J436" s="60"/>
      <c r="K436" s="60"/>
      <c r="L436" s="60"/>
    </row>
    <row r="437" spans="4:12" x14ac:dyDescent="0.25">
      <c r="D437" s="60"/>
      <c r="E437" s="60"/>
      <c r="F437" s="60"/>
      <c r="G437" s="60"/>
      <c r="H437" s="60"/>
      <c r="I437" s="60"/>
      <c r="J437" s="60"/>
      <c r="K437" s="60"/>
      <c r="L437" s="60"/>
    </row>
    <row r="438" spans="4:12" x14ac:dyDescent="0.25">
      <c r="D438" s="60"/>
      <c r="E438" s="60"/>
      <c r="F438" s="60"/>
      <c r="G438" s="60"/>
      <c r="H438" s="60"/>
      <c r="I438" s="60"/>
      <c r="J438" s="60"/>
      <c r="K438" s="60"/>
      <c r="L438" s="60"/>
    </row>
    <row r="439" spans="4:12" x14ac:dyDescent="0.25">
      <c r="D439" s="60"/>
      <c r="E439" s="60"/>
      <c r="F439" s="60"/>
      <c r="G439" s="60"/>
      <c r="H439" s="60"/>
      <c r="I439" s="60"/>
      <c r="J439" s="60"/>
      <c r="K439" s="60"/>
      <c r="L439" s="60"/>
    </row>
    <row r="440" spans="4:12" x14ac:dyDescent="0.25">
      <c r="D440" s="60"/>
      <c r="E440" s="60"/>
      <c r="F440" s="60"/>
      <c r="G440" s="60"/>
      <c r="H440" s="60"/>
      <c r="I440" s="60"/>
      <c r="J440" s="60"/>
      <c r="K440" s="60"/>
      <c r="L440" s="60"/>
    </row>
    <row r="441" spans="4:12" x14ac:dyDescent="0.25">
      <c r="D441" s="60"/>
      <c r="E441" s="60"/>
      <c r="F441" s="60"/>
      <c r="G441" s="60"/>
      <c r="H441" s="60"/>
      <c r="I441" s="60"/>
      <c r="J441" s="60"/>
      <c r="K441" s="60"/>
      <c r="L441" s="60"/>
    </row>
    <row r="442" spans="4:12" x14ac:dyDescent="0.25">
      <c r="D442" s="60"/>
      <c r="E442" s="60"/>
      <c r="F442" s="60"/>
      <c r="G442" s="60"/>
      <c r="H442" s="60"/>
      <c r="I442" s="60"/>
      <c r="J442" s="60"/>
      <c r="K442" s="60"/>
      <c r="L442" s="60"/>
    </row>
    <row r="443" spans="4:12" x14ac:dyDescent="0.25">
      <c r="D443" s="60"/>
      <c r="E443" s="60"/>
      <c r="F443" s="60"/>
      <c r="G443" s="60"/>
      <c r="H443" s="60"/>
      <c r="I443" s="60"/>
      <c r="J443" s="60"/>
      <c r="K443" s="60"/>
      <c r="L443" s="60"/>
    </row>
    <row r="444" spans="4:12" x14ac:dyDescent="0.25">
      <c r="D444" s="60"/>
      <c r="E444" s="60"/>
      <c r="F444" s="60"/>
      <c r="G444" s="60"/>
      <c r="H444" s="60"/>
      <c r="I444" s="60"/>
      <c r="J444" s="60"/>
      <c r="K444" s="60"/>
      <c r="L444" s="60"/>
    </row>
    <row r="445" spans="4:12" x14ac:dyDescent="0.25">
      <c r="D445" s="60"/>
      <c r="E445" s="60"/>
      <c r="F445" s="60"/>
      <c r="G445" s="60"/>
      <c r="H445" s="60"/>
      <c r="I445" s="60"/>
      <c r="J445" s="60"/>
      <c r="K445" s="60"/>
      <c r="L445" s="60"/>
    </row>
    <row r="446" spans="4:12" x14ac:dyDescent="0.25">
      <c r="D446" s="60"/>
      <c r="E446" s="60"/>
      <c r="F446" s="60"/>
      <c r="G446" s="60"/>
      <c r="H446" s="60"/>
      <c r="I446" s="60"/>
      <c r="J446" s="60"/>
      <c r="K446" s="60"/>
      <c r="L446" s="60"/>
    </row>
    <row r="447" spans="4:12" x14ac:dyDescent="0.25">
      <c r="D447" s="60"/>
      <c r="E447" s="60"/>
      <c r="F447" s="60"/>
      <c r="G447" s="60"/>
      <c r="H447" s="60"/>
      <c r="I447" s="60"/>
      <c r="J447" s="60"/>
      <c r="K447" s="60"/>
      <c r="L447" s="60"/>
    </row>
    <row r="448" spans="4:12" x14ac:dyDescent="0.25">
      <c r="D448" s="60"/>
      <c r="E448" s="60"/>
      <c r="F448" s="60"/>
      <c r="G448" s="60"/>
      <c r="H448" s="60"/>
      <c r="I448" s="60"/>
      <c r="J448" s="60"/>
      <c r="K448" s="60"/>
      <c r="L448" s="60"/>
    </row>
    <row r="449" spans="4:12" x14ac:dyDescent="0.25">
      <c r="D449" s="60"/>
      <c r="E449" s="60"/>
      <c r="F449" s="60"/>
      <c r="G449" s="60"/>
      <c r="H449" s="60"/>
      <c r="I449" s="60"/>
      <c r="J449" s="60"/>
      <c r="K449" s="60"/>
      <c r="L449" s="60"/>
    </row>
    <row r="450" spans="4:12" x14ac:dyDescent="0.25">
      <c r="D450" s="60"/>
      <c r="E450" s="60"/>
      <c r="F450" s="60"/>
      <c r="G450" s="60"/>
      <c r="H450" s="60"/>
      <c r="I450" s="60"/>
      <c r="J450" s="60"/>
      <c r="K450" s="60"/>
      <c r="L450" s="60"/>
    </row>
    <row r="451" spans="4:12" x14ac:dyDescent="0.25">
      <c r="D451" s="60"/>
      <c r="E451" s="60"/>
      <c r="F451" s="60"/>
      <c r="G451" s="60"/>
      <c r="H451" s="60"/>
      <c r="I451" s="60"/>
      <c r="J451" s="60"/>
      <c r="K451" s="60"/>
      <c r="L451" s="60"/>
    </row>
    <row r="452" spans="4:12" x14ac:dyDescent="0.25">
      <c r="D452" s="60"/>
      <c r="E452" s="60"/>
      <c r="F452" s="60"/>
      <c r="G452" s="60"/>
      <c r="H452" s="60"/>
      <c r="I452" s="60"/>
      <c r="J452" s="60"/>
      <c r="K452" s="60"/>
      <c r="L452" s="60"/>
    </row>
    <row r="453" spans="4:12" x14ac:dyDescent="0.25">
      <c r="D453" s="60"/>
      <c r="E453" s="60"/>
      <c r="F453" s="60"/>
      <c r="G453" s="60"/>
      <c r="H453" s="60"/>
      <c r="I453" s="60"/>
      <c r="J453" s="60"/>
      <c r="K453" s="60"/>
      <c r="L453" s="60"/>
    </row>
    <row r="454" spans="4:12" x14ac:dyDescent="0.25">
      <c r="D454" s="60"/>
      <c r="E454" s="60"/>
      <c r="F454" s="60"/>
      <c r="G454" s="60"/>
      <c r="H454" s="60"/>
      <c r="I454" s="60"/>
      <c r="J454" s="60"/>
      <c r="K454" s="60"/>
      <c r="L454" s="60"/>
    </row>
    <row r="455" spans="4:12" x14ac:dyDescent="0.25">
      <c r="D455" s="60"/>
      <c r="E455" s="60"/>
      <c r="F455" s="60"/>
      <c r="G455" s="60"/>
      <c r="H455" s="60"/>
      <c r="I455" s="60"/>
      <c r="J455" s="60"/>
      <c r="K455" s="60"/>
      <c r="L455" s="60"/>
    </row>
    <row r="456" spans="4:12" x14ac:dyDescent="0.25">
      <c r="D456" s="60"/>
      <c r="E456" s="60"/>
      <c r="F456" s="60"/>
      <c r="G456" s="60"/>
      <c r="H456" s="60"/>
      <c r="I456" s="60"/>
      <c r="J456" s="60"/>
      <c r="K456" s="60"/>
      <c r="L456" s="60"/>
    </row>
    <row r="457" spans="4:12" x14ac:dyDescent="0.25">
      <c r="D457" s="60"/>
      <c r="E457" s="60"/>
      <c r="F457" s="60"/>
      <c r="G457" s="60"/>
      <c r="H457" s="60"/>
      <c r="I457" s="60"/>
      <c r="J457" s="60"/>
      <c r="K457" s="60"/>
      <c r="L457" s="60"/>
    </row>
    <row r="458" spans="4:12" x14ac:dyDescent="0.25">
      <c r="D458" s="60"/>
      <c r="E458" s="60"/>
      <c r="F458" s="60"/>
      <c r="G458" s="60"/>
      <c r="H458" s="60"/>
      <c r="I458" s="60"/>
      <c r="J458" s="60"/>
      <c r="K458" s="60"/>
      <c r="L458" s="60"/>
    </row>
    <row r="459" spans="4:12" x14ac:dyDescent="0.25">
      <c r="D459" s="60"/>
      <c r="E459" s="60"/>
      <c r="F459" s="60"/>
      <c r="G459" s="60"/>
      <c r="H459" s="60"/>
      <c r="I459" s="60"/>
      <c r="J459" s="60"/>
      <c r="K459" s="60"/>
      <c r="L459" s="60"/>
    </row>
    <row r="460" spans="4:12" x14ac:dyDescent="0.25">
      <c r="D460" s="60"/>
      <c r="E460" s="60"/>
      <c r="F460" s="60"/>
      <c r="G460" s="60"/>
      <c r="H460" s="60"/>
      <c r="I460" s="60"/>
      <c r="J460" s="60"/>
      <c r="K460" s="60"/>
      <c r="L460" s="60"/>
    </row>
    <row r="461" spans="4:12" x14ac:dyDescent="0.25">
      <c r="D461" s="60"/>
      <c r="E461" s="60"/>
      <c r="F461" s="60"/>
      <c r="G461" s="60"/>
      <c r="H461" s="60"/>
      <c r="I461" s="60"/>
      <c r="J461" s="60"/>
      <c r="K461" s="60"/>
      <c r="L461" s="60"/>
    </row>
    <row r="462" spans="4:12" x14ac:dyDescent="0.25">
      <c r="D462" s="60"/>
      <c r="E462" s="60"/>
      <c r="F462" s="60"/>
      <c r="G462" s="60"/>
      <c r="H462" s="60"/>
      <c r="I462" s="60"/>
      <c r="J462" s="60"/>
      <c r="K462" s="60"/>
      <c r="L462" s="60"/>
    </row>
    <row r="463" spans="4:12" x14ac:dyDescent="0.25">
      <c r="D463" s="60"/>
      <c r="E463" s="60"/>
      <c r="F463" s="60"/>
      <c r="G463" s="60"/>
      <c r="H463" s="60"/>
      <c r="I463" s="60"/>
      <c r="J463" s="60"/>
      <c r="K463" s="60"/>
      <c r="L463" s="60"/>
    </row>
    <row r="464" spans="4:12" x14ac:dyDescent="0.25">
      <c r="D464" s="60"/>
      <c r="E464" s="60"/>
      <c r="F464" s="60"/>
      <c r="G464" s="60"/>
      <c r="H464" s="60"/>
      <c r="I464" s="60"/>
      <c r="J464" s="60"/>
      <c r="K464" s="60"/>
      <c r="L464" s="60"/>
    </row>
    <row r="465" spans="4:12" x14ac:dyDescent="0.25">
      <c r="D465" s="60"/>
      <c r="E465" s="60"/>
      <c r="F465" s="60"/>
      <c r="G465" s="60"/>
      <c r="H465" s="60"/>
      <c r="I465" s="60"/>
      <c r="J465" s="60"/>
      <c r="K465" s="60"/>
      <c r="L465" s="60"/>
    </row>
    <row r="466" spans="4:12" x14ac:dyDescent="0.25">
      <c r="D466" s="60"/>
      <c r="E466" s="60"/>
      <c r="F466" s="60"/>
      <c r="G466" s="60"/>
      <c r="H466" s="60"/>
      <c r="I466" s="60"/>
      <c r="J466" s="60"/>
      <c r="K466" s="60"/>
      <c r="L466" s="60"/>
    </row>
    <row r="467" spans="4:12" x14ac:dyDescent="0.25">
      <c r="D467" s="60"/>
      <c r="E467" s="60"/>
      <c r="F467" s="60"/>
      <c r="G467" s="60"/>
      <c r="H467" s="60"/>
      <c r="I467" s="60"/>
      <c r="J467" s="60"/>
      <c r="K467" s="60"/>
      <c r="L467" s="60"/>
    </row>
    <row r="468" spans="4:12" x14ac:dyDescent="0.25">
      <c r="D468" s="60"/>
      <c r="E468" s="60"/>
      <c r="F468" s="60"/>
      <c r="G468" s="60"/>
      <c r="H468" s="60"/>
      <c r="I468" s="60"/>
      <c r="J468" s="60"/>
      <c r="K468" s="60"/>
      <c r="L468" s="60"/>
    </row>
    <row r="469" spans="4:12" x14ac:dyDescent="0.25">
      <c r="D469" s="60"/>
      <c r="E469" s="60"/>
      <c r="F469" s="60"/>
      <c r="G469" s="60"/>
      <c r="H469" s="60"/>
      <c r="I469" s="60"/>
      <c r="J469" s="60"/>
      <c r="K469" s="60"/>
      <c r="L469" s="60"/>
    </row>
    <row r="470" spans="4:12" x14ac:dyDescent="0.25">
      <c r="D470" s="60"/>
      <c r="E470" s="60"/>
      <c r="F470" s="60"/>
      <c r="G470" s="60"/>
      <c r="H470" s="60"/>
      <c r="I470" s="60"/>
      <c r="J470" s="60"/>
      <c r="K470" s="60"/>
      <c r="L470" s="60"/>
    </row>
    <row r="471" spans="4:12" x14ac:dyDescent="0.25">
      <c r="D471" s="60"/>
      <c r="E471" s="60"/>
      <c r="F471" s="60"/>
      <c r="G471" s="60"/>
      <c r="H471" s="60"/>
      <c r="I471" s="60"/>
      <c r="J471" s="60"/>
      <c r="K471" s="60"/>
      <c r="L471" s="60"/>
    </row>
    <row r="472" spans="4:12" x14ac:dyDescent="0.25">
      <c r="D472" s="60"/>
      <c r="E472" s="60"/>
      <c r="F472" s="60"/>
      <c r="G472" s="60"/>
      <c r="H472" s="60"/>
      <c r="I472" s="60"/>
      <c r="J472" s="60"/>
      <c r="K472" s="60"/>
      <c r="L472" s="60"/>
    </row>
    <row r="473" spans="4:12" x14ac:dyDescent="0.25">
      <c r="D473" s="60"/>
      <c r="E473" s="60"/>
      <c r="F473" s="60"/>
      <c r="G473" s="60"/>
      <c r="H473" s="60"/>
      <c r="I473" s="60"/>
      <c r="J473" s="60"/>
      <c r="K473" s="60"/>
      <c r="L473" s="60"/>
    </row>
    <row r="474" spans="4:12" x14ac:dyDescent="0.25">
      <c r="D474" s="60"/>
      <c r="E474" s="60"/>
      <c r="F474" s="60"/>
      <c r="G474" s="60"/>
      <c r="H474" s="60"/>
      <c r="I474" s="60"/>
      <c r="J474" s="60"/>
      <c r="K474" s="60"/>
      <c r="L474" s="60"/>
    </row>
    <row r="475" spans="4:12" x14ac:dyDescent="0.25">
      <c r="D475" s="60"/>
      <c r="E475" s="60"/>
      <c r="F475" s="60"/>
      <c r="G475" s="60"/>
      <c r="H475" s="60"/>
      <c r="I475" s="60"/>
      <c r="J475" s="60"/>
      <c r="K475" s="60"/>
      <c r="L475" s="60"/>
    </row>
    <row r="476" spans="4:12" x14ac:dyDescent="0.25">
      <c r="D476" s="60"/>
      <c r="E476" s="60"/>
      <c r="F476" s="60"/>
      <c r="G476" s="60"/>
      <c r="H476" s="60"/>
      <c r="I476" s="60"/>
      <c r="J476" s="60"/>
      <c r="K476" s="60"/>
      <c r="L476" s="60"/>
    </row>
    <row r="477" spans="4:12" x14ac:dyDescent="0.25">
      <c r="D477" s="60"/>
      <c r="E477" s="60"/>
      <c r="F477" s="60"/>
      <c r="G477" s="60"/>
      <c r="H477" s="60"/>
      <c r="I477" s="60"/>
      <c r="J477" s="60"/>
      <c r="K477" s="60"/>
      <c r="L477" s="60"/>
    </row>
    <row r="478" spans="4:12" x14ac:dyDescent="0.25">
      <c r="D478" s="60"/>
      <c r="E478" s="60"/>
      <c r="F478" s="60"/>
      <c r="G478" s="60"/>
      <c r="H478" s="60"/>
      <c r="I478" s="60"/>
      <c r="J478" s="60"/>
      <c r="K478" s="60"/>
      <c r="L478" s="60"/>
    </row>
    <row r="479" spans="4:12" x14ac:dyDescent="0.25">
      <c r="D479" s="60"/>
      <c r="E479" s="60"/>
      <c r="F479" s="60"/>
      <c r="G479" s="60"/>
      <c r="H479" s="60"/>
      <c r="I479" s="60"/>
      <c r="J479" s="60"/>
      <c r="K479" s="60"/>
      <c r="L479" s="60"/>
    </row>
    <row r="480" spans="4:12" x14ac:dyDescent="0.25">
      <c r="D480" s="60"/>
      <c r="E480" s="60"/>
      <c r="F480" s="60"/>
      <c r="G480" s="60"/>
      <c r="H480" s="60"/>
      <c r="I480" s="60"/>
      <c r="J480" s="60"/>
      <c r="K480" s="60"/>
      <c r="L480" s="60"/>
    </row>
    <row r="481" spans="4:12" x14ac:dyDescent="0.25">
      <c r="D481" s="60"/>
      <c r="E481" s="60"/>
      <c r="F481" s="60"/>
      <c r="G481" s="60"/>
      <c r="H481" s="60"/>
      <c r="I481" s="60"/>
      <c r="J481" s="60"/>
      <c r="K481" s="60"/>
      <c r="L481" s="60"/>
    </row>
    <row r="482" spans="4:12" x14ac:dyDescent="0.25">
      <c r="D482" s="60"/>
      <c r="E482" s="60"/>
      <c r="F482" s="60"/>
      <c r="G482" s="60"/>
      <c r="H482" s="60"/>
      <c r="I482" s="60"/>
      <c r="J482" s="60"/>
      <c r="K482" s="60"/>
      <c r="L482" s="60"/>
    </row>
    <row r="483" spans="4:12" x14ac:dyDescent="0.25">
      <c r="D483" s="60"/>
      <c r="E483" s="60"/>
      <c r="F483" s="60"/>
      <c r="G483" s="60"/>
      <c r="H483" s="60"/>
      <c r="I483" s="60"/>
      <c r="J483" s="60"/>
      <c r="K483" s="60"/>
      <c r="L483" s="60"/>
    </row>
    <row r="484" spans="4:12" x14ac:dyDescent="0.25">
      <c r="D484" s="60"/>
      <c r="E484" s="60"/>
      <c r="F484" s="60"/>
      <c r="G484" s="60"/>
      <c r="H484" s="60"/>
      <c r="I484" s="60"/>
      <c r="J484" s="60"/>
      <c r="K484" s="60"/>
      <c r="L484" s="60"/>
    </row>
    <row r="485" spans="4:12" x14ac:dyDescent="0.25">
      <c r="D485" s="60"/>
      <c r="E485" s="60"/>
      <c r="F485" s="60"/>
      <c r="G485" s="60"/>
      <c r="H485" s="60"/>
      <c r="I485" s="60"/>
      <c r="J485" s="60"/>
      <c r="K485" s="60"/>
      <c r="L485" s="60"/>
    </row>
    <row r="486" spans="4:12" x14ac:dyDescent="0.25">
      <c r="D486" s="60"/>
      <c r="E486" s="60"/>
      <c r="F486" s="60"/>
      <c r="G486" s="60"/>
      <c r="H486" s="60"/>
      <c r="I486" s="60"/>
      <c r="J486" s="60"/>
      <c r="K486" s="60"/>
      <c r="L486" s="60"/>
    </row>
  </sheetData>
  <mergeCells count="21">
    <mergeCell ref="D22:F22"/>
    <mergeCell ref="D12:F12"/>
    <mergeCell ref="D13:F13"/>
    <mergeCell ref="D14:F14"/>
    <mergeCell ref="D15:F15"/>
    <mergeCell ref="J25:M25"/>
    <mergeCell ref="G22:I22"/>
    <mergeCell ref="D25:I25"/>
    <mergeCell ref="D7:F7"/>
    <mergeCell ref="D8:F8"/>
    <mergeCell ref="D9:F9"/>
    <mergeCell ref="D10:F10"/>
    <mergeCell ref="D11:F11"/>
    <mergeCell ref="D19:F19"/>
    <mergeCell ref="G19:I19"/>
    <mergeCell ref="D23:F23"/>
    <mergeCell ref="G23:I23"/>
    <mergeCell ref="D20:F20"/>
    <mergeCell ref="G20:I20"/>
    <mergeCell ref="D21:F21"/>
    <mergeCell ref="G21:I21"/>
  </mergeCells>
  <phoneticPr fontId="25" type="noConversion"/>
  <conditionalFormatting sqref="G16">
    <cfRule type="expression" dxfId="58" priority="3">
      <formula>SUM($G$7:$G$14)=1</formula>
    </cfRule>
  </conditionalFormatting>
  <conditionalFormatting sqref="D8:G15">
    <cfRule type="expression" dxfId="57" priority="2">
      <formula>$G8=0</formula>
    </cfRule>
  </conditionalFormatting>
  <conditionalFormatting sqref="G8:G15">
    <cfRule type="expression" dxfId="56" priority="1">
      <formula>SUM($G$7:$G$14)&lt;&gt;1</formula>
    </cfRule>
  </conditionalFormatting>
  <dataValidations count="1">
    <dataValidation type="list" allowBlank="1" showInputMessage="1" showErrorMessage="1" sqref="H27:H28" xr:uid="{AE607E23-4085-4693-920F-43D9762FC051}">
      <formula1>kravtype</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23806616-90BB-4127-8FB9-3DAC4085B011}">
          <x14:formula1>
            <xm:f>Lister!$F$43</xm:f>
          </x14:formula1>
          <xm:sqref>K27</xm:sqref>
        </x14:dataValidation>
        <x14:dataValidation type="list" allowBlank="1" showInputMessage="1" showErrorMessage="1" xr:uid="{656BC8BE-192E-4423-9429-105852B54A4E}">
          <x14:formula1>
            <xm:f>Lister!$E$43:$E$44</xm:f>
          </x14:formula1>
          <xm:sqref>K28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3F9-69B8-44C3-9462-C661C992C65A}">
  <dimension ref="B3:M70"/>
  <sheetViews>
    <sheetView topLeftCell="A10" zoomScale="110" zoomScaleNormal="110" workbookViewId="0">
      <selection activeCell="G18" sqref="G18:I18"/>
    </sheetView>
  </sheetViews>
  <sheetFormatPr baseColWidth="10" defaultColWidth="11.42578125" defaultRowHeight="15" x14ac:dyDescent="0.25"/>
  <cols>
    <col min="1" max="1" width="11.42578125" style="8"/>
    <col min="2" max="2" width="11.42578125" style="8" hidden="1" customWidth="1"/>
    <col min="3" max="3" width="13.140625" style="8" hidden="1" customWidth="1"/>
    <col min="4" max="4" width="11.85546875" style="8" customWidth="1"/>
    <col min="5" max="5" width="37.42578125" style="8" customWidth="1"/>
    <col min="6" max="6" width="30.28515625" style="8" customWidth="1"/>
    <col min="7" max="7" width="78" style="8" customWidth="1"/>
    <col min="8" max="8" width="12.28515625" style="8" customWidth="1"/>
    <col min="9" max="9" width="35.5703125" style="8" customWidth="1"/>
    <col min="10" max="10" width="76.5703125" style="8" customWidth="1"/>
    <col min="11" max="11" width="63" style="8" customWidth="1"/>
    <col min="12" max="12" width="68.28515625" style="8" customWidth="1"/>
    <col min="13" max="13" width="38.85546875" style="8" customWidth="1"/>
    <col min="14" max="16384" width="11.42578125" style="8"/>
  </cols>
  <sheetData>
    <row r="3" spans="4:9" ht="21" x14ac:dyDescent="0.25">
      <c r="D3" s="9" t="str">
        <f>CONCATENATE(navn_Anskaffelseskode," Vedlegg ",Dokumentnummer," Kravspesifikasjon ", Dokumentnavn)</f>
        <v>2301d Vedlegg 02 Kravspesifikasjon Uregistrerte legemidler</v>
      </c>
    </row>
    <row r="4" spans="4:9" ht="14.25" customHeight="1" x14ac:dyDescent="0.25">
      <c r="D4" s="9"/>
    </row>
    <row r="5" spans="4:9" ht="21" x14ac:dyDescent="0.25">
      <c r="D5" s="9" t="s">
        <v>374</v>
      </c>
      <c r="E5" s="9"/>
      <c r="F5" s="19"/>
      <c r="H5" s="12"/>
      <c r="I5" s="12"/>
    </row>
    <row r="6" spans="4:9" ht="14.85" customHeight="1" x14ac:dyDescent="0.25">
      <c r="D6" s="192" t="s">
        <v>343</v>
      </c>
      <c r="E6" s="192"/>
      <c r="F6" s="192"/>
      <c r="G6" s="11" t="s">
        <v>344</v>
      </c>
    </row>
    <row r="7" spans="4:9" ht="14.85" customHeight="1" x14ac:dyDescent="0.25">
      <c r="D7" s="146" t="str">
        <f>Lister!I43</f>
        <v>Pris (P)</v>
      </c>
      <c r="E7" s="147"/>
      <c r="F7" s="148"/>
      <c r="G7" s="16">
        <f>Lister!J43</f>
        <v>0.35</v>
      </c>
    </row>
    <row r="8" spans="4:9" ht="14.85" customHeight="1" x14ac:dyDescent="0.25">
      <c r="D8" s="149" t="str">
        <f>Lister!I44</f>
        <v>Brukervennlighet, pakninger og produktspekter (PP)</v>
      </c>
      <c r="E8" s="150"/>
      <c r="F8" s="151"/>
      <c r="G8" s="40">
        <f>Lister!J44</f>
        <v>0.45</v>
      </c>
      <c r="I8" s="83"/>
    </row>
    <row r="9" spans="4:9" ht="14.85" customHeight="1" x14ac:dyDescent="0.25">
      <c r="D9" s="152" t="str">
        <f>Lister!I45</f>
        <v>Leveringssikkerhet: Lager (LP1)</v>
      </c>
      <c r="E9" s="153"/>
      <c r="F9" s="154"/>
      <c r="G9" s="17">
        <f>Lister!J45</f>
        <v>0.15</v>
      </c>
    </row>
    <row r="10" spans="4:9" ht="14.85" customHeight="1" x14ac:dyDescent="0.25">
      <c r="D10" s="152" t="str">
        <f>Lister!I46</f>
        <v>Leveringssikkerhet: Salg i flere land (LP2)</v>
      </c>
      <c r="E10" s="153"/>
      <c r="F10" s="154"/>
      <c r="G10" s="17">
        <f>Lister!J46</f>
        <v>0.05</v>
      </c>
    </row>
    <row r="11" spans="4:9" ht="14.85" customHeight="1" x14ac:dyDescent="0.25">
      <c r="D11" s="152" t="str">
        <f>Lister!I47</f>
        <v>Leveringssikkerhet: Fellesnordisk pakning (LP3)</v>
      </c>
      <c r="E11" s="153"/>
      <c r="F11" s="154"/>
      <c r="G11" s="17">
        <f>Lister!J47</f>
        <v>0</v>
      </c>
      <c r="I11" s="83"/>
    </row>
    <row r="12" spans="4:9" ht="14.85" customHeight="1" x14ac:dyDescent="0.25">
      <c r="D12" s="167" t="str">
        <f>Lister!I48</f>
        <v xml:space="preserve">Miljø på leverandørnivå: XX (ML1) </v>
      </c>
      <c r="E12" s="168"/>
      <c r="F12" s="169"/>
      <c r="G12" s="41">
        <f>Lister!J48</f>
        <v>0</v>
      </c>
      <c r="I12" s="83"/>
    </row>
    <row r="13" spans="4:9" ht="14.85" customHeight="1" x14ac:dyDescent="0.25">
      <c r="D13" s="170" t="str">
        <f>Lister!I49</f>
        <v xml:space="preserve">Miljø på produktnivå: XX (MP1) </v>
      </c>
      <c r="E13" s="171"/>
      <c r="F13" s="172"/>
      <c r="G13" s="42">
        <f>Lister!J49</f>
        <v>0</v>
      </c>
      <c r="I13" s="83"/>
    </row>
    <row r="14" spans="4:9" ht="14.85" customHeight="1" x14ac:dyDescent="0.25">
      <c r="D14" s="149" t="str">
        <f>Lister!I50</f>
        <v>Pakninger og produktspekter (PP)</v>
      </c>
      <c r="E14" s="150"/>
      <c r="F14" s="151"/>
      <c r="G14" s="40">
        <f>Lister!J50</f>
        <v>0</v>
      </c>
    </row>
    <row r="15" spans="4:9" x14ac:dyDescent="0.25">
      <c r="G15" s="77" t="s">
        <v>345</v>
      </c>
    </row>
    <row r="16" spans="4:9" ht="21.75" thickBot="1" x14ac:dyDescent="0.3">
      <c r="D16" s="9" t="s">
        <v>375</v>
      </c>
      <c r="E16" s="14"/>
    </row>
    <row r="17" spans="4:9" ht="15" customHeight="1" x14ac:dyDescent="0.25">
      <c r="D17" s="189" t="s">
        <v>347</v>
      </c>
      <c r="E17" s="190"/>
      <c r="F17" s="191"/>
      <c r="G17" s="193"/>
      <c r="H17" s="194"/>
      <c r="I17" s="195"/>
    </row>
    <row r="18" spans="4:9" x14ac:dyDescent="0.25">
      <c r="D18" s="196" t="s">
        <v>376</v>
      </c>
      <c r="E18" s="197"/>
      <c r="F18" s="198"/>
      <c r="G18" s="199"/>
      <c r="H18" s="200"/>
      <c r="I18" s="201"/>
    </row>
    <row r="19" spans="4:9" ht="15" customHeight="1" x14ac:dyDescent="0.25">
      <c r="D19" s="180" t="s">
        <v>33</v>
      </c>
      <c r="E19" s="181"/>
      <c r="F19" s="182" t="s">
        <v>356</v>
      </c>
      <c r="G19" s="177" t="str">
        <f>_xlfn.XLOOKUP(navn_delleveranse,tabell_anskaffelsens_innhold[Delleveranse],tabell_anskaffelsens_innhold[Kravsett for delleveranse],"ikke funnet")</f>
        <v>ikke funnet</v>
      </c>
      <c r="H19" s="178"/>
      <c r="I19" s="179"/>
    </row>
    <row r="20" spans="4:9" customFormat="1" ht="15" hidden="1" customHeight="1" x14ac:dyDescent="0.25">
      <c r="D20" s="109" t="str" cm="1">
        <f t="array" ref="D20">_xlfn.XLOOKUP(navn_delleveranse,tabell_anskaffelsens_innhold[Delleveranse],tabell_anskaffelsens_innhold[Kravsett 1]:tabell_anskaffelsens_innhold[Kravsett 4],"ikkefunnet")</f>
        <v>ikkefunnet</v>
      </c>
      <c r="E20" s="110"/>
      <c r="F20" s="110"/>
      <c r="I20" s="73"/>
    </row>
    <row r="21" spans="4:9" ht="15" hidden="1" customHeight="1" x14ac:dyDescent="0.25">
      <c r="D21" s="131"/>
      <c r="E21" s="132"/>
      <c r="F21" s="133"/>
      <c r="G21" s="128"/>
      <c r="H21" s="129"/>
      <c r="I21" s="130"/>
    </row>
    <row r="22" spans="4:9" x14ac:dyDescent="0.25">
      <c r="D22" s="180" t="s">
        <v>26</v>
      </c>
      <c r="E22" s="181"/>
      <c r="F22" s="182"/>
      <c r="G22" s="177" t="str">
        <f>_xlfn.XLOOKUP(navn_delleveranse,tabell_anskaffelsens_innhold[Delleveranse],tabell_anskaffelsens_innhold[ATC],"ikke funnet")</f>
        <v>ikke funnet</v>
      </c>
      <c r="H22" s="178"/>
      <c r="I22" s="179"/>
    </row>
    <row r="23" spans="4:9" ht="15" customHeight="1" x14ac:dyDescent="0.25">
      <c r="D23" s="180" t="s">
        <v>27</v>
      </c>
      <c r="E23" s="181"/>
      <c r="F23" s="182"/>
      <c r="G23" s="177" t="str">
        <f>_xlfn.XLOOKUP(navn_delleveranse,tabell_anskaffelsens_innhold[Delleveranse],tabell_anskaffelsens_innhold[Virkestoff],"ikke funnet")</f>
        <v>ikke funnet</v>
      </c>
      <c r="H23" s="178"/>
      <c r="I23" s="179"/>
    </row>
    <row r="24" spans="4:9" ht="15" customHeight="1" x14ac:dyDescent="0.25">
      <c r="D24" s="180" t="s">
        <v>377</v>
      </c>
      <c r="E24" s="181"/>
      <c r="F24" s="182"/>
      <c r="G24" s="177" t="str">
        <f>_xlfn.XLOOKUP(navn_delleveranse,tabell_anskaffelsens_innhold[Delleveranse],tabell_anskaffelsens_innhold[Legemiddelformgruppe],"ikke funnet")</f>
        <v>ikke funnet</v>
      </c>
      <c r="H24" s="178"/>
      <c r="I24" s="179"/>
    </row>
    <row r="25" spans="4:9" ht="15" customHeight="1" thickBot="1" x14ac:dyDescent="0.3">
      <c r="D25" s="183" t="s">
        <v>378</v>
      </c>
      <c r="E25" s="184"/>
      <c r="F25" s="185"/>
      <c r="G25" s="186" t="str">
        <f>_xlfn.XLOOKUP(navn_delleveranse,tabell_anskaffelsens_innhold[Delleveranse],tabell_anskaffelsens_innhold[Bruksparameter Sykehusinnkjøp],"ikke funnet")</f>
        <v>ikke funnet</v>
      </c>
      <c r="H25" s="187"/>
      <c r="I25" s="188"/>
    </row>
    <row r="26" spans="4:9" ht="15" customHeight="1" x14ac:dyDescent="0.25"/>
    <row r="27" spans="4:9" ht="21.75" customHeight="1" x14ac:dyDescent="0.25">
      <c r="D27" s="91" t="s">
        <v>379</v>
      </c>
    </row>
    <row r="28" spans="4:9" ht="15" customHeight="1" x14ac:dyDescent="0.25">
      <c r="D28" s="90" t="s">
        <v>380</v>
      </c>
      <c r="E28" s="89" t="s">
        <v>381</v>
      </c>
    </row>
    <row r="29" spans="4:9" ht="15" customHeight="1" x14ac:dyDescent="0.25">
      <c r="D29" s="79"/>
      <c r="E29" s="80"/>
    </row>
    <row r="30" spans="4:9" ht="15" customHeight="1" x14ac:dyDescent="0.25">
      <c r="D30" s="79"/>
      <c r="E30" s="80"/>
    </row>
    <row r="31" spans="4:9" ht="15" customHeight="1" x14ac:dyDescent="0.25">
      <c r="D31" s="79"/>
      <c r="E31" s="80"/>
    </row>
    <row r="32" spans="4:9" ht="15" customHeight="1" x14ac:dyDescent="0.25">
      <c r="D32" s="79"/>
      <c r="E32" s="80"/>
    </row>
    <row r="33" spans="2:13" ht="15" customHeight="1" x14ac:dyDescent="0.25">
      <c r="D33" s="81"/>
      <c r="E33" s="82"/>
    </row>
    <row r="36" spans="2:13" ht="15.75" x14ac:dyDescent="0.25">
      <c r="D36" s="25" t="str">
        <f>CONCATENATE("Krav for ",Dokumentnavn)</f>
        <v>Krav for Uregistrerte legemidler</v>
      </c>
      <c r="E36" s="13"/>
      <c r="F36" s="77" t="str">
        <f>"BETINGET FORMATERING ER SATT TIL: "&amp;toggle_betingetFormatering&amp;" (arkfane 'Lister')"</f>
        <v>BETINGET FORMATERING ER SATT TIL: ja (arkfane 'Lister')</v>
      </c>
    </row>
    <row r="38" spans="2:13" ht="15" customHeight="1" x14ac:dyDescent="0.25">
      <c r="D38" s="173" t="s">
        <v>352</v>
      </c>
      <c r="E38" s="174"/>
      <c r="F38" s="174"/>
      <c r="G38" s="174"/>
      <c r="H38" s="174"/>
      <c r="I38" s="174"/>
      <c r="J38" s="174"/>
      <c r="K38" s="175" t="s">
        <v>353</v>
      </c>
      <c r="L38" s="175"/>
      <c r="M38" s="176"/>
    </row>
    <row r="39" spans="2:13" ht="30" x14ac:dyDescent="0.25">
      <c r="B39" s="8" t="s">
        <v>354</v>
      </c>
      <c r="C39" s="8" t="s">
        <v>25</v>
      </c>
      <c r="D39" s="86" t="s">
        <v>355</v>
      </c>
      <c r="E39" s="86" t="s">
        <v>356</v>
      </c>
      <c r="F39" s="86" t="s">
        <v>382</v>
      </c>
      <c r="G39" s="87" t="s">
        <v>358</v>
      </c>
      <c r="H39" s="86" t="s">
        <v>359</v>
      </c>
      <c r="I39" s="86" t="s">
        <v>360</v>
      </c>
      <c r="J39" s="87" t="s">
        <v>361</v>
      </c>
      <c r="K39" s="111" t="s">
        <v>383</v>
      </c>
      <c r="L39" s="112" t="s">
        <v>363</v>
      </c>
      <c r="M39" s="113" t="s">
        <v>364</v>
      </c>
    </row>
    <row r="40" spans="2:13" s="10" customFormat="1" ht="45" x14ac:dyDescent="0.25">
      <c r="B40" s="84" t="str">
        <f t="shared" ref="B40:B55" si="0">navn_Anskaffelseskode</f>
        <v>2301d</v>
      </c>
      <c r="C40" s="84">
        <f t="shared" ref="C40:C55" si="1">navn_delleveranse</f>
        <v>0</v>
      </c>
      <c r="D40" s="124" t="s">
        <v>384</v>
      </c>
      <c r="E40" s="108" t="s">
        <v>44</v>
      </c>
      <c r="F40" s="108" t="s">
        <v>385</v>
      </c>
      <c r="G40" s="108" t="s">
        <v>386</v>
      </c>
      <c r="H40" s="108" t="s">
        <v>369</v>
      </c>
      <c r="I40" s="108"/>
      <c r="J40" s="108" t="s">
        <v>387</v>
      </c>
      <c r="K40" s="85"/>
      <c r="L40" s="84"/>
      <c r="M40" s="84"/>
    </row>
    <row r="41" spans="2:13" s="10" customFormat="1" ht="86.25" customHeight="1" x14ac:dyDescent="0.25">
      <c r="B41" s="84" t="str">
        <f t="shared" si="0"/>
        <v>2301d</v>
      </c>
      <c r="C41" s="84">
        <f t="shared" si="1"/>
        <v>0</v>
      </c>
      <c r="D41" s="124" t="s">
        <v>388</v>
      </c>
      <c r="E41" s="108" t="s">
        <v>44</v>
      </c>
      <c r="F41" s="108" t="s">
        <v>385</v>
      </c>
      <c r="G41" s="108" t="s">
        <v>389</v>
      </c>
      <c r="H41" s="108" t="s">
        <v>369</v>
      </c>
      <c r="I41" s="108"/>
      <c r="J41" s="108"/>
      <c r="K41" s="85"/>
      <c r="L41" s="84"/>
      <c r="M41" s="84"/>
    </row>
    <row r="42" spans="2:13" s="10" customFormat="1" ht="86.25" customHeight="1" x14ac:dyDescent="0.25">
      <c r="B42" s="84" t="str">
        <f t="shared" si="0"/>
        <v>2301d</v>
      </c>
      <c r="C42" s="84">
        <f t="shared" si="1"/>
        <v>0</v>
      </c>
      <c r="D42" s="124" t="s">
        <v>390</v>
      </c>
      <c r="E42" s="108" t="s">
        <v>44</v>
      </c>
      <c r="F42" s="108" t="s">
        <v>391</v>
      </c>
      <c r="G42" s="108" t="s">
        <v>392</v>
      </c>
      <c r="H42" s="108" t="s">
        <v>369</v>
      </c>
      <c r="I42" s="108"/>
      <c r="J42" s="108" t="s">
        <v>393</v>
      </c>
      <c r="K42" s="85"/>
      <c r="L42" s="84"/>
      <c r="M42" s="84"/>
    </row>
    <row r="43" spans="2:13" s="10" customFormat="1" ht="86.25" customHeight="1" x14ac:dyDescent="0.25">
      <c r="B43" s="84" t="str">
        <f t="shared" si="0"/>
        <v>2301d</v>
      </c>
      <c r="C43" s="84">
        <f t="shared" si="1"/>
        <v>0</v>
      </c>
      <c r="D43" s="124" t="s">
        <v>395</v>
      </c>
      <c r="E43" s="108" t="s">
        <v>44</v>
      </c>
      <c r="F43" s="108" t="s">
        <v>396</v>
      </c>
      <c r="G43" s="108" t="s">
        <v>397</v>
      </c>
      <c r="H43" s="108" t="s">
        <v>369</v>
      </c>
      <c r="I43" s="108"/>
      <c r="J43" s="108" t="s">
        <v>398</v>
      </c>
      <c r="K43" s="85"/>
      <c r="L43" s="84"/>
      <c r="M43" s="84"/>
    </row>
    <row r="44" spans="2:13" s="10" customFormat="1" ht="86.25" customHeight="1" x14ac:dyDescent="0.25">
      <c r="B44" s="84" t="str">
        <f t="shared" si="0"/>
        <v>2301d</v>
      </c>
      <c r="C44" s="84">
        <f t="shared" si="1"/>
        <v>0</v>
      </c>
      <c r="D44" s="124" t="s">
        <v>399</v>
      </c>
      <c r="E44" s="108" t="s">
        <v>44</v>
      </c>
      <c r="F44" s="108" t="s">
        <v>400</v>
      </c>
      <c r="G44" s="108" t="s">
        <v>401</v>
      </c>
      <c r="H44" s="108" t="s">
        <v>369</v>
      </c>
      <c r="I44" s="108"/>
      <c r="J44" s="108" t="s">
        <v>402</v>
      </c>
      <c r="K44" s="85"/>
      <c r="L44" s="84"/>
      <c r="M44" s="84"/>
    </row>
    <row r="45" spans="2:13" s="10" customFormat="1" ht="135" x14ac:dyDescent="0.25">
      <c r="B45" s="84" t="str">
        <f t="shared" si="0"/>
        <v>2301d</v>
      </c>
      <c r="C45" s="84">
        <f t="shared" si="1"/>
        <v>0</v>
      </c>
      <c r="D45" s="124" t="s">
        <v>403</v>
      </c>
      <c r="E45" s="108" t="s">
        <v>44</v>
      </c>
      <c r="F45" s="108" t="s">
        <v>404</v>
      </c>
      <c r="G45" s="108" t="s">
        <v>405</v>
      </c>
      <c r="H45" s="108" t="s">
        <v>369</v>
      </c>
      <c r="I45" s="108"/>
      <c r="J45" s="108" t="s">
        <v>406</v>
      </c>
      <c r="K45" s="85"/>
      <c r="L45" s="84"/>
      <c r="M45" s="84"/>
    </row>
    <row r="46" spans="2:13" s="10" customFormat="1" ht="86.25" customHeight="1" x14ac:dyDescent="0.25">
      <c r="B46" s="84" t="str">
        <f t="shared" si="0"/>
        <v>2301d</v>
      </c>
      <c r="C46" s="84">
        <f t="shared" si="1"/>
        <v>0</v>
      </c>
      <c r="D46" s="124" t="s">
        <v>407</v>
      </c>
      <c r="E46" s="108" t="s">
        <v>44</v>
      </c>
      <c r="F46" s="108" t="s">
        <v>408</v>
      </c>
      <c r="G46" s="108" t="s">
        <v>409</v>
      </c>
      <c r="H46" s="108" t="s">
        <v>369</v>
      </c>
      <c r="I46" s="108"/>
      <c r="J46" s="108" t="s">
        <v>410</v>
      </c>
      <c r="K46" s="85"/>
      <c r="L46" s="84"/>
      <c r="M46" s="84"/>
    </row>
    <row r="47" spans="2:13" s="10" customFormat="1" ht="86.25" customHeight="1" x14ac:dyDescent="0.25">
      <c r="B47" s="84" t="str">
        <f t="shared" si="0"/>
        <v>2301d</v>
      </c>
      <c r="C47" s="84">
        <f t="shared" si="1"/>
        <v>0</v>
      </c>
      <c r="D47" s="124" t="s">
        <v>411</v>
      </c>
      <c r="E47" s="108" t="s">
        <v>44</v>
      </c>
      <c r="F47" s="108" t="s">
        <v>400</v>
      </c>
      <c r="G47" s="108" t="s">
        <v>412</v>
      </c>
      <c r="H47" s="108" t="s">
        <v>413</v>
      </c>
      <c r="I47" s="108" t="s">
        <v>414</v>
      </c>
      <c r="J47" s="108" t="s">
        <v>415</v>
      </c>
      <c r="K47" s="84" t="s">
        <v>416</v>
      </c>
      <c r="L47" s="84"/>
      <c r="M47" s="84"/>
    </row>
    <row r="48" spans="2:13" s="10" customFormat="1" ht="86.25" customHeight="1" x14ac:dyDescent="0.25">
      <c r="B48" s="84" t="str">
        <f>navn_Anskaffelseskode</f>
        <v>2301d</v>
      </c>
      <c r="C48" s="84">
        <f>navn_delleveranse</f>
        <v>0</v>
      </c>
      <c r="D48" s="124" t="s">
        <v>417</v>
      </c>
      <c r="E48" s="114" t="s">
        <v>44</v>
      </c>
      <c r="F48" s="108" t="s">
        <v>400</v>
      </c>
      <c r="G48" s="108" t="s">
        <v>418</v>
      </c>
      <c r="H48" s="108" t="s">
        <v>413</v>
      </c>
      <c r="I48" s="108" t="s">
        <v>414</v>
      </c>
      <c r="J48" s="108" t="s">
        <v>419</v>
      </c>
      <c r="K48" s="85"/>
      <c r="L48" s="84"/>
      <c r="M48" s="84"/>
    </row>
    <row r="49" spans="2:13" s="10" customFormat="1" ht="86.25" customHeight="1" x14ac:dyDescent="0.25">
      <c r="B49" s="84" t="str">
        <f>navn_Anskaffelseskode</f>
        <v>2301d</v>
      </c>
      <c r="C49" s="84">
        <f>navn_delleveranse</f>
        <v>0</v>
      </c>
      <c r="D49" s="124" t="s">
        <v>420</v>
      </c>
      <c r="E49" s="114" t="s">
        <v>44</v>
      </c>
      <c r="F49" s="108" t="s">
        <v>400</v>
      </c>
      <c r="G49" s="108" t="s">
        <v>421</v>
      </c>
      <c r="H49" s="108" t="s">
        <v>413</v>
      </c>
      <c r="I49" s="108" t="s">
        <v>414</v>
      </c>
      <c r="J49" s="108" t="s">
        <v>422</v>
      </c>
      <c r="K49" s="85"/>
      <c r="L49" s="84"/>
      <c r="M49" s="84"/>
    </row>
    <row r="50" spans="2:13" s="10" customFormat="1" ht="86.25" customHeight="1" x14ac:dyDescent="0.25">
      <c r="B50" s="84" t="str">
        <f t="shared" si="0"/>
        <v>2301d</v>
      </c>
      <c r="C50" s="84">
        <f t="shared" si="1"/>
        <v>0</v>
      </c>
      <c r="D50" s="124" t="s">
        <v>423</v>
      </c>
      <c r="E50" s="108" t="s">
        <v>44</v>
      </c>
      <c r="F50" s="108" t="s">
        <v>408</v>
      </c>
      <c r="G50" s="108" t="s">
        <v>424</v>
      </c>
      <c r="H50" s="108" t="s">
        <v>413</v>
      </c>
      <c r="I50" s="108" t="s">
        <v>425</v>
      </c>
      <c r="J50" s="108" t="s">
        <v>426</v>
      </c>
      <c r="K50" s="85"/>
      <c r="L50" s="88"/>
      <c r="M50" s="84"/>
    </row>
    <row r="51" spans="2:13" ht="86.25" customHeight="1" x14ac:dyDescent="0.25">
      <c r="B51" s="88" t="str">
        <f t="shared" si="0"/>
        <v>2301d</v>
      </c>
      <c r="C51" s="88">
        <f t="shared" si="1"/>
        <v>0</v>
      </c>
      <c r="D51" s="124" t="s">
        <v>427</v>
      </c>
      <c r="E51" s="108" t="s">
        <v>44</v>
      </c>
      <c r="F51" s="108" t="s">
        <v>408</v>
      </c>
      <c r="G51" s="108" t="s">
        <v>428</v>
      </c>
      <c r="H51" s="108" t="s">
        <v>413</v>
      </c>
      <c r="I51" s="108" t="s">
        <v>429</v>
      </c>
      <c r="J51" s="108" t="s">
        <v>430</v>
      </c>
      <c r="K51" s="85"/>
      <c r="L51" s="84"/>
      <c r="M51" s="84"/>
    </row>
    <row r="52" spans="2:13" ht="86.25" customHeight="1" x14ac:dyDescent="0.25">
      <c r="B52" s="88" t="str">
        <f>navn_Anskaffelseskode</f>
        <v>2301d</v>
      </c>
      <c r="C52" s="88">
        <f>navn_delleveranse</f>
        <v>0</v>
      </c>
      <c r="D52" s="124" t="s">
        <v>431</v>
      </c>
      <c r="E52" s="114" t="s">
        <v>45</v>
      </c>
      <c r="F52" s="108" t="s">
        <v>400</v>
      </c>
      <c r="G52" s="108" t="s">
        <v>432</v>
      </c>
      <c r="H52" s="108" t="s">
        <v>413</v>
      </c>
      <c r="I52" s="108" t="s">
        <v>414</v>
      </c>
      <c r="J52" s="108" t="s">
        <v>433</v>
      </c>
      <c r="K52" s="84" t="s">
        <v>416</v>
      </c>
      <c r="L52" s="84"/>
      <c r="M52" s="84"/>
    </row>
    <row r="53" spans="2:13" ht="86.25" customHeight="1" x14ac:dyDescent="0.25">
      <c r="B53" s="88" t="str">
        <f t="shared" si="0"/>
        <v>2301d</v>
      </c>
      <c r="C53" s="88">
        <f t="shared" si="1"/>
        <v>0</v>
      </c>
      <c r="D53" s="124" t="s">
        <v>434</v>
      </c>
      <c r="E53" s="108" t="s">
        <v>45</v>
      </c>
      <c r="F53" s="108" t="s">
        <v>400</v>
      </c>
      <c r="G53" s="108" t="s">
        <v>435</v>
      </c>
      <c r="H53" s="108" t="s">
        <v>413</v>
      </c>
      <c r="I53" s="108" t="s">
        <v>414</v>
      </c>
      <c r="J53" s="108" t="s">
        <v>436</v>
      </c>
      <c r="K53" s="85"/>
      <c r="L53" s="84"/>
      <c r="M53" s="84"/>
    </row>
    <row r="54" spans="2:13" ht="86.25" customHeight="1" x14ac:dyDescent="0.25">
      <c r="B54" s="88" t="str">
        <f t="shared" si="0"/>
        <v>2301d</v>
      </c>
      <c r="C54" s="88">
        <f t="shared" si="1"/>
        <v>0</v>
      </c>
      <c r="D54" s="124" t="s">
        <v>437</v>
      </c>
      <c r="E54" s="108" t="s">
        <v>85</v>
      </c>
      <c r="F54" s="108" t="s">
        <v>438</v>
      </c>
      <c r="G54" s="108" t="s">
        <v>439</v>
      </c>
      <c r="H54" s="108" t="s">
        <v>413</v>
      </c>
      <c r="I54" s="108" t="s">
        <v>414</v>
      </c>
      <c r="J54" s="108" t="s">
        <v>440</v>
      </c>
      <c r="K54" s="85"/>
      <c r="L54" s="84"/>
      <c r="M54" s="84"/>
    </row>
    <row r="55" spans="2:13" ht="86.25" customHeight="1" x14ac:dyDescent="0.25">
      <c r="B55" s="88" t="str">
        <f t="shared" si="0"/>
        <v>2301d</v>
      </c>
      <c r="C55" s="88">
        <f t="shared" si="1"/>
        <v>0</v>
      </c>
      <c r="D55" s="124" t="s">
        <v>441</v>
      </c>
      <c r="E55" s="108" t="s">
        <v>93</v>
      </c>
      <c r="F55" s="108" t="s">
        <v>442</v>
      </c>
      <c r="G55" s="108" t="s">
        <v>443</v>
      </c>
      <c r="H55" s="108" t="s">
        <v>413</v>
      </c>
      <c r="I55" s="108" t="s">
        <v>414</v>
      </c>
      <c r="J55" s="108" t="s">
        <v>444</v>
      </c>
      <c r="K55" s="85"/>
      <c r="L55" s="84"/>
      <c r="M55" s="84"/>
    </row>
    <row r="56" spans="2:13" ht="86.25" customHeight="1" x14ac:dyDescent="0.25">
      <c r="B56" s="88" t="str">
        <f t="shared" ref="B56:B70" si="2">navn_Anskaffelseskode</f>
        <v>2301d</v>
      </c>
      <c r="C56" s="88">
        <f t="shared" ref="C56:C70" si="3">navn_delleveranse</f>
        <v>0</v>
      </c>
      <c r="D56" s="124" t="s">
        <v>445</v>
      </c>
      <c r="E56" s="108" t="s">
        <v>46</v>
      </c>
      <c r="F56" s="108" t="s">
        <v>442</v>
      </c>
      <c r="G56" s="108" t="s">
        <v>446</v>
      </c>
      <c r="H56" s="108" t="s">
        <v>413</v>
      </c>
      <c r="I56" s="108" t="s">
        <v>414</v>
      </c>
      <c r="J56" s="108" t="s">
        <v>447</v>
      </c>
      <c r="K56" s="85"/>
      <c r="L56" s="84"/>
      <c r="M56" s="84"/>
    </row>
    <row r="57" spans="2:13" ht="86.25" customHeight="1" x14ac:dyDescent="0.25">
      <c r="B57" s="88" t="str">
        <f t="shared" si="2"/>
        <v>2301d</v>
      </c>
      <c r="C57" s="88">
        <f t="shared" si="3"/>
        <v>0</v>
      </c>
      <c r="D57" s="124" t="s">
        <v>448</v>
      </c>
      <c r="E57" s="108" t="s">
        <v>46</v>
      </c>
      <c r="F57" s="108" t="s">
        <v>442</v>
      </c>
      <c r="G57" s="108" t="s">
        <v>449</v>
      </c>
      <c r="H57" s="108" t="s">
        <v>413</v>
      </c>
      <c r="I57" s="108" t="s">
        <v>414</v>
      </c>
      <c r="J57" s="108" t="s">
        <v>447</v>
      </c>
      <c r="K57" s="85"/>
      <c r="L57" s="84"/>
      <c r="M57" s="84"/>
    </row>
    <row r="58" spans="2:13" ht="86.25" customHeight="1" x14ac:dyDescent="0.25">
      <c r="B58" s="88" t="str">
        <f t="shared" si="2"/>
        <v>2301d</v>
      </c>
      <c r="C58" s="88">
        <f t="shared" si="3"/>
        <v>0</v>
      </c>
      <c r="D58" s="124" t="s">
        <v>450</v>
      </c>
      <c r="E58" s="108" t="s">
        <v>160</v>
      </c>
      <c r="F58" s="108" t="s">
        <v>400</v>
      </c>
      <c r="G58" s="108" t="s">
        <v>451</v>
      </c>
      <c r="H58" s="108" t="s">
        <v>369</v>
      </c>
      <c r="I58" s="108"/>
      <c r="J58" s="108" t="s">
        <v>402</v>
      </c>
      <c r="K58" s="85"/>
      <c r="L58" s="84"/>
      <c r="M58" s="84"/>
    </row>
    <row r="59" spans="2:13" ht="86.25" customHeight="1" x14ac:dyDescent="0.25">
      <c r="B59" s="88" t="str">
        <f t="shared" si="2"/>
        <v>2301d</v>
      </c>
      <c r="C59" s="88">
        <f t="shared" si="3"/>
        <v>0</v>
      </c>
      <c r="D59" s="124" t="s">
        <v>452</v>
      </c>
      <c r="E59" s="108" t="s">
        <v>57</v>
      </c>
      <c r="F59" s="108" t="s">
        <v>442</v>
      </c>
      <c r="G59" s="108" t="s">
        <v>453</v>
      </c>
      <c r="H59" s="108" t="s">
        <v>413</v>
      </c>
      <c r="I59" s="108" t="s">
        <v>414</v>
      </c>
      <c r="J59" s="108" t="s">
        <v>454</v>
      </c>
      <c r="K59" s="85"/>
      <c r="L59" s="84"/>
      <c r="M59" s="84"/>
    </row>
    <row r="60" spans="2:13" ht="86.25" customHeight="1" x14ac:dyDescent="0.25">
      <c r="B60" s="88" t="str">
        <f t="shared" si="2"/>
        <v>2301d</v>
      </c>
      <c r="C60" s="88">
        <f t="shared" si="3"/>
        <v>0</v>
      </c>
      <c r="D60" s="124" t="s">
        <v>455</v>
      </c>
      <c r="E60" s="108" t="s">
        <v>49</v>
      </c>
      <c r="F60" s="108" t="s">
        <v>400</v>
      </c>
      <c r="G60" s="108" t="s">
        <v>456</v>
      </c>
      <c r="H60" s="108" t="s">
        <v>413</v>
      </c>
      <c r="I60" s="108" t="s">
        <v>414</v>
      </c>
      <c r="J60" s="108" t="s">
        <v>457</v>
      </c>
      <c r="K60" s="85"/>
      <c r="L60" s="84"/>
      <c r="M60" s="84"/>
    </row>
    <row r="61" spans="2:13" ht="86.25" customHeight="1" x14ac:dyDescent="0.25">
      <c r="B61" s="88" t="str">
        <f t="shared" si="2"/>
        <v>2301d</v>
      </c>
      <c r="C61" s="88">
        <f t="shared" si="3"/>
        <v>0</v>
      </c>
      <c r="D61" s="124" t="s">
        <v>458</v>
      </c>
      <c r="E61" s="108" t="s">
        <v>49</v>
      </c>
      <c r="F61" s="108" t="s">
        <v>400</v>
      </c>
      <c r="G61" s="108" t="s">
        <v>432</v>
      </c>
      <c r="H61" s="108" t="s">
        <v>413</v>
      </c>
      <c r="I61" s="108" t="s">
        <v>414</v>
      </c>
      <c r="J61" s="108" t="s">
        <v>415</v>
      </c>
      <c r="K61" s="84" t="s">
        <v>416</v>
      </c>
      <c r="L61" s="84"/>
      <c r="M61" s="84"/>
    </row>
    <row r="62" spans="2:13" ht="86.25" customHeight="1" x14ac:dyDescent="0.25">
      <c r="B62" s="88" t="str">
        <f t="shared" si="2"/>
        <v>2301d</v>
      </c>
      <c r="C62" s="88">
        <f t="shared" si="3"/>
        <v>0</v>
      </c>
      <c r="D62" s="124" t="s">
        <v>459</v>
      </c>
      <c r="E62" s="108" t="s">
        <v>280</v>
      </c>
      <c r="F62" s="108" t="s">
        <v>400</v>
      </c>
      <c r="G62" s="108" t="s">
        <v>460</v>
      </c>
      <c r="H62" s="108" t="s">
        <v>413</v>
      </c>
      <c r="I62" s="108" t="s">
        <v>414</v>
      </c>
      <c r="J62" s="108" t="s">
        <v>461</v>
      </c>
      <c r="K62" s="85"/>
      <c r="L62" s="84"/>
      <c r="M62" s="84"/>
    </row>
    <row r="63" spans="2:13" ht="86.25" customHeight="1" x14ac:dyDescent="0.25">
      <c r="B63" s="88" t="str">
        <f t="shared" ref="B63:B69" si="4">navn_Anskaffelseskode</f>
        <v>2301d</v>
      </c>
      <c r="C63" s="88">
        <f t="shared" ref="C63:C69" si="5">navn_delleveranse</f>
        <v>0</v>
      </c>
      <c r="D63" s="124" t="s">
        <v>462</v>
      </c>
      <c r="E63" s="114" t="s">
        <v>286</v>
      </c>
      <c r="F63" s="108" t="s">
        <v>442</v>
      </c>
      <c r="G63" s="108" t="s">
        <v>463</v>
      </c>
      <c r="H63" s="108" t="s">
        <v>369</v>
      </c>
      <c r="I63" s="108"/>
      <c r="J63" s="108" t="s">
        <v>464</v>
      </c>
      <c r="K63" s="85"/>
      <c r="L63" s="84"/>
      <c r="M63" s="84"/>
    </row>
    <row r="64" spans="2:13" ht="86.25" customHeight="1" x14ac:dyDescent="0.25">
      <c r="B64" s="88" t="str">
        <f t="shared" si="4"/>
        <v>2301d</v>
      </c>
      <c r="C64" s="88">
        <f t="shared" si="5"/>
        <v>0</v>
      </c>
      <c r="D64" s="124" t="s">
        <v>465</v>
      </c>
      <c r="E64" s="114" t="s">
        <v>286</v>
      </c>
      <c r="F64" s="108" t="s">
        <v>400</v>
      </c>
      <c r="G64" s="108" t="s">
        <v>466</v>
      </c>
      <c r="H64" s="108" t="s">
        <v>413</v>
      </c>
      <c r="I64" s="108" t="s">
        <v>414</v>
      </c>
      <c r="J64" s="108" t="s">
        <v>415</v>
      </c>
      <c r="K64" s="84" t="s">
        <v>416</v>
      </c>
      <c r="L64" s="84"/>
      <c r="M64" s="84"/>
    </row>
    <row r="65" spans="2:13" ht="86.25" customHeight="1" x14ac:dyDescent="0.25">
      <c r="B65" s="88" t="str">
        <f t="shared" si="4"/>
        <v>2301d</v>
      </c>
      <c r="C65" s="88">
        <f t="shared" si="5"/>
        <v>0</v>
      </c>
      <c r="D65" s="124" t="s">
        <v>467</v>
      </c>
      <c r="E65" s="114" t="s">
        <v>96</v>
      </c>
      <c r="F65" s="108" t="s">
        <v>442</v>
      </c>
      <c r="G65" s="108" t="s">
        <v>468</v>
      </c>
      <c r="H65" s="108" t="s">
        <v>369</v>
      </c>
      <c r="I65" s="108"/>
      <c r="J65" s="108"/>
      <c r="K65" s="85"/>
      <c r="L65" s="84"/>
      <c r="M65" s="84"/>
    </row>
    <row r="66" spans="2:13" ht="86.25" customHeight="1" x14ac:dyDescent="0.25">
      <c r="B66" s="88" t="str">
        <f t="shared" si="4"/>
        <v>2301d</v>
      </c>
      <c r="C66" s="88">
        <f t="shared" si="5"/>
        <v>0</v>
      </c>
      <c r="D66" s="124" t="s">
        <v>469</v>
      </c>
      <c r="E66" s="114" t="s">
        <v>96</v>
      </c>
      <c r="F66" s="108" t="s">
        <v>442</v>
      </c>
      <c r="G66" s="108" t="s">
        <v>470</v>
      </c>
      <c r="H66" s="108" t="s">
        <v>413</v>
      </c>
      <c r="I66" s="108" t="s">
        <v>414</v>
      </c>
      <c r="J66" s="108"/>
      <c r="K66" s="85"/>
      <c r="L66" s="84"/>
      <c r="M66" s="84"/>
    </row>
    <row r="67" spans="2:13" ht="86.25" customHeight="1" x14ac:dyDescent="0.25">
      <c r="B67" s="88" t="str">
        <f t="shared" si="4"/>
        <v>2301d</v>
      </c>
      <c r="C67" s="88">
        <f t="shared" si="5"/>
        <v>0</v>
      </c>
      <c r="D67" s="124" t="s">
        <v>471</v>
      </c>
      <c r="E67" s="114" t="s">
        <v>121</v>
      </c>
      <c r="F67" s="108" t="s">
        <v>442</v>
      </c>
      <c r="G67" s="108" t="s">
        <v>472</v>
      </c>
      <c r="H67" s="108" t="s">
        <v>413</v>
      </c>
      <c r="I67" s="108" t="s">
        <v>414</v>
      </c>
      <c r="J67" s="108" t="s">
        <v>473</v>
      </c>
      <c r="K67" s="85"/>
      <c r="L67" s="84"/>
      <c r="M67" s="84"/>
    </row>
    <row r="68" spans="2:13" ht="86.25" customHeight="1" x14ac:dyDescent="0.25">
      <c r="B68" s="88" t="str">
        <f t="shared" si="4"/>
        <v>2301d</v>
      </c>
      <c r="C68" s="88">
        <f t="shared" si="5"/>
        <v>0</v>
      </c>
      <c r="D68" s="124" t="s">
        <v>474</v>
      </c>
      <c r="E68" s="114" t="s">
        <v>123</v>
      </c>
      <c r="F68" s="108" t="s">
        <v>442</v>
      </c>
      <c r="G68" s="108" t="s">
        <v>475</v>
      </c>
      <c r="H68" s="108" t="s">
        <v>369</v>
      </c>
      <c r="I68" s="108"/>
      <c r="J68" s="108"/>
      <c r="K68" s="85"/>
      <c r="L68" s="84"/>
      <c r="M68" s="84"/>
    </row>
    <row r="69" spans="2:13" ht="86.25" hidden="1" customHeight="1" x14ac:dyDescent="0.25">
      <c r="B69" s="88" t="str">
        <f t="shared" si="4"/>
        <v>2301d</v>
      </c>
      <c r="C69" s="88">
        <f t="shared" si="5"/>
        <v>0</v>
      </c>
      <c r="D69" s="124"/>
      <c r="E69" s="114"/>
      <c r="F69" s="108"/>
      <c r="G69" s="108"/>
      <c r="H69" s="108"/>
      <c r="I69" s="108"/>
      <c r="J69" s="108"/>
      <c r="K69" s="85"/>
      <c r="L69" s="84"/>
      <c r="M69" s="84"/>
    </row>
    <row r="70" spans="2:13" ht="86.25" hidden="1" customHeight="1" x14ac:dyDescent="0.25">
      <c r="B70" s="88" t="str">
        <f t="shared" si="2"/>
        <v>2301d</v>
      </c>
      <c r="C70" s="88">
        <f t="shared" si="3"/>
        <v>0</v>
      </c>
      <c r="D70" s="114"/>
      <c r="E70" s="108"/>
      <c r="F70" s="108"/>
      <c r="G70" s="108"/>
      <c r="H70" s="108"/>
      <c r="I70" s="108"/>
      <c r="J70" s="108"/>
      <c r="K70" s="85"/>
      <c r="L70" s="84"/>
      <c r="M70" s="84"/>
    </row>
  </sheetData>
  <mergeCells count="25">
    <mergeCell ref="G19:I19"/>
    <mergeCell ref="D19:F19"/>
    <mergeCell ref="G17:I17"/>
    <mergeCell ref="D18:F18"/>
    <mergeCell ref="G18:I18"/>
    <mergeCell ref="D6:F6"/>
    <mergeCell ref="D7:F7"/>
    <mergeCell ref="D8:F8"/>
    <mergeCell ref="D9:F9"/>
    <mergeCell ref="D10:F10"/>
    <mergeCell ref="D11:F11"/>
    <mergeCell ref="D12:F12"/>
    <mergeCell ref="D13:F13"/>
    <mergeCell ref="D14:F14"/>
    <mergeCell ref="D17:F17"/>
    <mergeCell ref="D38:J38"/>
    <mergeCell ref="K38:M38"/>
    <mergeCell ref="G22:I22"/>
    <mergeCell ref="D23:F23"/>
    <mergeCell ref="D24:F24"/>
    <mergeCell ref="G24:I24"/>
    <mergeCell ref="D25:F25"/>
    <mergeCell ref="G25:I25"/>
    <mergeCell ref="D22:F22"/>
    <mergeCell ref="G23:I23"/>
  </mergeCells>
  <phoneticPr fontId="25" type="noConversion"/>
  <conditionalFormatting sqref="D7:G14">
    <cfRule type="expression" dxfId="42" priority="29">
      <formula>$G7=0</formula>
    </cfRule>
  </conditionalFormatting>
  <conditionalFormatting sqref="D40:I40 K40:M40 D41:M70">
    <cfRule type="expression" dxfId="41" priority="1">
      <formula>IF(AND(toggle_betingetFormatering="JA",AND($D$20&lt;&gt;$E40,$E$20&lt;&gt;$E40,$F$20&lt;&gt;$E40,$G$20&lt;&gt;$E40)),TRUE,FALSE)</formula>
    </cfRule>
  </conditionalFormatting>
  <conditionalFormatting sqref="G7:G14">
    <cfRule type="expression" dxfId="40" priority="27">
      <formula>SUM($G$7:$G$14)&lt;&gt;1</formula>
    </cfRule>
  </conditionalFormatting>
  <conditionalFormatting sqref="G15">
    <cfRule type="expression" dxfId="39" priority="24">
      <formula>SUM($G$7:$G$14)=1</formula>
    </cfRule>
  </conditionalFormatting>
  <conditionalFormatting sqref="D40:I40 D41:J70">
    <cfRule type="expression" dxfId="38" priority="18">
      <formula>$I40="MP"</formula>
    </cfRule>
    <cfRule type="expression" dxfId="37" priority="19">
      <formula>$I40="ML"</formula>
    </cfRule>
    <cfRule type="expression" dxfId="36" priority="20">
      <formula>$I40="OL"</formula>
    </cfRule>
    <cfRule type="expression" dxfId="35" priority="21">
      <formula>OR($I40="LP",$I40="LP1",$I40="LP2",$I40="LP3",$I40="LL")</formula>
    </cfRule>
    <cfRule type="expression" dxfId="34" priority="22">
      <formula>$I40="Pris"</formula>
    </cfRule>
    <cfRule type="expression" dxfId="33" priority="23">
      <formula>$I40="PP"</formula>
    </cfRule>
  </conditionalFormatting>
  <conditionalFormatting sqref="F36">
    <cfRule type="expression" dxfId="32" priority="17">
      <formula>toggle_betingetFormatering="JA"</formula>
    </cfRule>
  </conditionalFormatting>
  <conditionalFormatting sqref="J40">
    <cfRule type="expression" dxfId="31" priority="2">
      <formula>IF(AND(toggle_betingetFormatering="JA",AND($D$20&lt;&gt;$E40,$E$20&lt;&gt;$E40,$F$20&lt;&gt;$E40,$G$20&lt;&gt;$E40)),TRUE,FALSE)</formula>
    </cfRule>
  </conditionalFormatting>
  <conditionalFormatting sqref="J40">
    <cfRule type="expression" dxfId="30" priority="3">
      <formula>$I40="MP"</formula>
    </cfRule>
    <cfRule type="expression" dxfId="29" priority="4">
      <formula>$I40="ML"</formula>
    </cfRule>
    <cfRule type="expression" dxfId="28" priority="5">
      <formula>$I40="OL"</formula>
    </cfRule>
    <cfRule type="expression" dxfId="27" priority="6">
      <formula>OR($I40="LP",$I40="LP1",$I40="LP2",$I40="LP3",$I40="LL")</formula>
    </cfRule>
    <cfRule type="expression" dxfId="26" priority="7">
      <formula>$I40="Pris"</formula>
    </cfRule>
    <cfRule type="expression" dxfId="25" priority="15">
      <formula>$I40="PP"</formula>
    </cfRule>
  </conditionalFormatting>
  <dataValidations count="1">
    <dataValidation type="list" allowBlank="1" showInputMessage="1" showErrorMessage="1" sqref="H40:H45 H47:H69" xr:uid="{C44CA614-9362-4018-8A93-B132E26C8596}">
      <formula1>kravtype</formula1>
    </dataValidation>
  </dataValidations>
  <pageMargins left="0.7" right="0.7" top="0.75" bottom="0.75" header="0.3" footer="0.3"/>
  <pageSetup paperSize="9" orientation="portrait" r:id="rId1"/>
  <tableParts count="2">
    <tablePart r:id="rId2"/>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3266C3A7-E690-4B5C-B402-DA92EDB33607}">
          <x14:formula1>
            <xm:f>Lister!$B$43:$B$49</xm:f>
          </x14:formula1>
          <xm:sqref>K46</xm:sqref>
        </x14:dataValidation>
        <x14:dataValidation type="list" allowBlank="1" showInputMessage="1" showErrorMessage="1" xr:uid="{BF8ABAEA-2DB4-46B7-884A-91260A710E05}">
          <x14:formula1>
            <xm:f>Lister!$D$43:$D$48</xm:f>
          </x14:formula1>
          <xm:sqref>K51</xm:sqref>
        </x14:dataValidation>
        <x14:dataValidation type="list" allowBlank="1" showInputMessage="1" showErrorMessage="1" xr:uid="{BBE7CA50-4C51-4D42-A858-C907700B0ED0}">
          <x14:formula1>
            <xm:f>Lister!$C$43:$C$48</xm:f>
          </x14:formula1>
          <xm:sqref>K50</xm:sqref>
        </x14:dataValidation>
        <x14:dataValidation type="list" allowBlank="1" showInputMessage="1" showErrorMessage="1" prompt="Velg i nedtrekksmeny_x000a_" xr:uid="{20320424-D7D5-4D5F-BE26-33C7A3431EC8}">
          <x14:formula1>
            <xm:f>Lister!$F$43</xm:f>
          </x14:formula1>
          <xm:sqref>K43:K44 K40:K41 K58 K63 K65 K68</xm:sqref>
        </x14:dataValidation>
        <x14:dataValidation type="list" allowBlank="1" showInputMessage="1" showErrorMessage="1" prompt="Velg i nedtrekksmeny_x000a_" xr:uid="{565A9598-BEA4-428B-93BF-0162B54F9142}">
          <x14:formula1>
            <xm:f>Lister!$H$43:$H$71</xm:f>
          </x14:formula1>
          <xm:sqref>K42</xm:sqref>
        </x14:dataValidation>
        <x14:dataValidation type="list" allowBlank="1" showInputMessage="1" showErrorMessage="1" prompt="Velg i nedtrekksmeny_x000a_" xr:uid="{D6260FD1-710E-4CD0-82C3-DCAFE9651FBC}">
          <x14:formula1>
            <xm:f>Lister!$L$43:$L$44</xm:f>
          </x14:formula1>
          <xm:sqref>K45</xm:sqref>
        </x14:dataValidation>
        <x14:dataValidation type="list" allowBlank="1" showInputMessage="1" showErrorMessage="1" xr:uid="{2F603943-EFFC-4DC5-ADBA-2572807853EE}">
          <x14:formula1>
            <xm:f>Lister!$A$43:$A$44</xm:f>
          </x14:formula1>
          <xm:sqref>K66:K67 K60 K55 K57</xm:sqref>
        </x14:dataValidation>
        <x14:dataValidation type="list" allowBlank="1" showInputMessage="1" showErrorMessage="1" xr:uid="{D705F9F8-19FE-4637-B82F-D66DD522D738}">
          <x14:formula1>
            <xm:f>Lister!$M$43:$M$47</xm:f>
          </x14:formula1>
          <xm:sqref>K59</xm:sqref>
        </x14:dataValidation>
        <x14:dataValidation type="list" allowBlank="1" showInputMessage="1" showErrorMessage="1" xr:uid="{90E11247-9CA8-4D4B-BC3D-EF35739C1C6F}">
          <x14:formula1>
            <xm:f>Lister!$N$43:$N$47</xm:f>
          </x14:formula1>
          <xm:sqref>K48:K49</xm:sqref>
        </x14:dataValidation>
        <x14:dataValidation type="list" allowBlank="1" showInputMessage="1" showErrorMessage="1" xr:uid="{5A415054-1C2F-4C63-8E0A-9557BA97D109}">
          <x14:formula1>
            <xm:f>Lister!$O$43:$O$44</xm:f>
          </x14:formula1>
          <xm:sqref>K56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51E4-4F3B-4A28-AEC7-8B7779F19C13}">
  <dimension ref="A1:X109"/>
  <sheetViews>
    <sheetView zoomScale="80" workbookViewId="0">
      <selection activeCell="A27" sqref="A27"/>
    </sheetView>
  </sheetViews>
  <sheetFormatPr baseColWidth="10" defaultColWidth="11.42578125" defaultRowHeight="15" x14ac:dyDescent="0.25"/>
  <cols>
    <col min="1" max="1" width="68.28515625" customWidth="1"/>
    <col min="2" max="2" width="36.85546875" customWidth="1"/>
    <col min="3" max="3" width="10.42578125" customWidth="1"/>
    <col min="4" max="4" width="49.5703125" customWidth="1"/>
    <col min="5" max="5" width="21" customWidth="1"/>
    <col min="6" max="6" width="16.42578125" customWidth="1"/>
    <col min="8" max="8" width="23.140625" customWidth="1"/>
    <col min="9" max="9" width="51.28515625" customWidth="1"/>
    <col min="10" max="10" width="30.5703125" customWidth="1"/>
    <col min="11" max="11" width="53" customWidth="1"/>
    <col min="12" max="12" width="87.42578125" style="55" customWidth="1"/>
    <col min="13" max="15" width="8.140625" customWidth="1"/>
    <col min="16" max="16" width="35" customWidth="1"/>
    <col min="17" max="17" width="43.7109375" customWidth="1"/>
    <col min="18" max="18" width="26.7109375" customWidth="1"/>
    <col min="19" max="19" width="31.85546875" customWidth="1"/>
    <col min="20" max="20" width="26.7109375" customWidth="1"/>
    <col min="22" max="22" width="19.140625" customWidth="1"/>
    <col min="24" max="24" width="28.5703125" customWidth="1"/>
  </cols>
  <sheetData>
    <row r="1" spans="1:15" ht="28.5" x14ac:dyDescent="0.25">
      <c r="A1" s="52" t="s">
        <v>476</v>
      </c>
      <c r="J1" s="24"/>
    </row>
    <row r="2" spans="1:15" x14ac:dyDescent="0.25">
      <c r="J2" s="24"/>
    </row>
    <row r="3" spans="1:15" ht="37.5" customHeight="1" x14ac:dyDescent="0.25">
      <c r="A3" s="92" t="s">
        <v>477</v>
      </c>
      <c r="L3" s="53" t="s">
        <v>478</v>
      </c>
    </row>
    <row r="4" spans="1:15" x14ac:dyDescent="0.25">
      <c r="A4" s="93"/>
      <c r="D4" s="18" t="s">
        <v>479</v>
      </c>
      <c r="E4" s="23"/>
      <c r="L4" s="55" t="s">
        <v>480</v>
      </c>
    </row>
    <row r="5" spans="1:15" x14ac:dyDescent="0.25">
      <c r="A5" s="93"/>
      <c r="D5" s="18" t="s">
        <v>481</v>
      </c>
      <c r="E5" s="23"/>
    </row>
    <row r="6" spans="1:15" ht="30" x14ac:dyDescent="0.25">
      <c r="A6" s="93" t="s">
        <v>482</v>
      </c>
      <c r="D6" s="21" t="s">
        <v>483</v>
      </c>
      <c r="E6" s="28" t="s">
        <v>484</v>
      </c>
      <c r="G6" t="s">
        <v>485</v>
      </c>
      <c r="H6" t="str">
        <f>navn_Anskaffelseskode&amp;Dokumentnummer</f>
        <v>2301d02</v>
      </c>
      <c r="L6" s="55" t="s">
        <v>486</v>
      </c>
      <c r="M6" s="51"/>
      <c r="N6" s="51"/>
      <c r="O6" s="51"/>
    </row>
    <row r="7" spans="1:15" ht="15" customHeight="1" x14ac:dyDescent="0.25">
      <c r="A7" s="93"/>
      <c r="D7" s="22" t="s">
        <v>487</v>
      </c>
      <c r="E7" s="29" t="s">
        <v>488</v>
      </c>
      <c r="G7" t="s">
        <v>489</v>
      </c>
    </row>
    <row r="8" spans="1:15" ht="15" customHeight="1" x14ac:dyDescent="0.25">
      <c r="A8" s="93" t="s">
        <v>490</v>
      </c>
      <c r="D8" s="21" t="s">
        <v>491</v>
      </c>
      <c r="E8" s="30" t="s">
        <v>492</v>
      </c>
      <c r="G8" t="s">
        <v>493</v>
      </c>
      <c r="L8" s="55" t="s">
        <v>494</v>
      </c>
    </row>
    <row r="9" spans="1:15" ht="15" customHeight="1" x14ac:dyDescent="0.25">
      <c r="A9" s="93" t="s">
        <v>495</v>
      </c>
      <c r="D9" s="22" t="s">
        <v>496</v>
      </c>
      <c r="E9" s="29" t="s">
        <v>488</v>
      </c>
      <c r="G9" t="s">
        <v>497</v>
      </c>
    </row>
    <row r="10" spans="1:15" ht="56.25" customHeight="1" x14ac:dyDescent="0.3">
      <c r="A10" s="94" t="s">
        <v>498</v>
      </c>
      <c r="D10" t="s">
        <v>499</v>
      </c>
      <c r="F10" t="s">
        <v>500</v>
      </c>
    </row>
    <row r="11" spans="1:15" ht="23.25" customHeight="1" x14ac:dyDescent="0.25">
      <c r="A11" s="95"/>
      <c r="E11" s="23"/>
      <c r="M11" s="51"/>
      <c r="N11" s="51"/>
      <c r="O11" s="51"/>
    </row>
    <row r="12" spans="1:15" ht="22.5" customHeight="1" x14ac:dyDescent="0.25">
      <c r="D12" t="s">
        <v>501</v>
      </c>
      <c r="E12" s="23"/>
    </row>
    <row r="13" spans="1:15" x14ac:dyDescent="0.25">
      <c r="A13" s="93" t="s">
        <v>502</v>
      </c>
      <c r="D13" t="s">
        <v>503</v>
      </c>
    </row>
    <row r="14" spans="1:15" ht="30" x14ac:dyDescent="0.25">
      <c r="A14" s="93" t="s">
        <v>504</v>
      </c>
    </row>
    <row r="15" spans="1:15" x14ac:dyDescent="0.25">
      <c r="A15" s="93" t="s">
        <v>505</v>
      </c>
      <c r="D15" s="18" t="s">
        <v>506</v>
      </c>
    </row>
    <row r="16" spans="1:15" x14ac:dyDescent="0.25">
      <c r="A16" s="93"/>
      <c r="D16" t="s">
        <v>507</v>
      </c>
    </row>
    <row r="17" spans="1:15" x14ac:dyDescent="0.25">
      <c r="A17" s="93" t="s">
        <v>508</v>
      </c>
      <c r="D17" t="s">
        <v>509</v>
      </c>
    </row>
    <row r="18" spans="1:15" x14ac:dyDescent="0.25">
      <c r="A18" s="24"/>
      <c r="D18" t="s">
        <v>510</v>
      </c>
    </row>
    <row r="19" spans="1:15" x14ac:dyDescent="0.25">
      <c r="A19" s="93" t="s">
        <v>511</v>
      </c>
      <c r="D19" t="s">
        <v>512</v>
      </c>
    </row>
    <row r="20" spans="1:15" x14ac:dyDescent="0.25">
      <c r="A20" s="24"/>
    </row>
    <row r="21" spans="1:15" ht="30" x14ac:dyDescent="0.25">
      <c r="A21" s="93" t="s">
        <v>513</v>
      </c>
      <c r="D21" s="44" t="s">
        <v>514</v>
      </c>
    </row>
    <row r="22" spans="1:15" x14ac:dyDescent="0.25">
      <c r="A22" s="93"/>
      <c r="D22" t="s">
        <v>515</v>
      </c>
      <c r="M22" s="51"/>
      <c r="N22" s="51"/>
      <c r="O22" s="51"/>
    </row>
    <row r="23" spans="1:15" ht="30" x14ac:dyDescent="0.25">
      <c r="A23" s="93" t="s">
        <v>516</v>
      </c>
      <c r="D23" t="s">
        <v>517</v>
      </c>
      <c r="M23" s="50"/>
      <c r="N23" s="50"/>
      <c r="O23" s="50"/>
    </row>
    <row r="24" spans="1:15" x14ac:dyDescent="0.25">
      <c r="D24" t="s">
        <v>518</v>
      </c>
      <c r="J24" s="24"/>
      <c r="K24" s="55"/>
      <c r="M24" s="50"/>
      <c r="N24" s="50"/>
      <c r="O24" s="50"/>
    </row>
    <row r="25" spans="1:15" x14ac:dyDescent="0.25">
      <c r="A25" t="s">
        <v>519</v>
      </c>
      <c r="D25" s="43" t="s">
        <v>520</v>
      </c>
      <c r="J25" s="24"/>
    </row>
    <row r="26" spans="1:15" x14ac:dyDescent="0.25">
      <c r="A26" s="78" t="s">
        <v>622</v>
      </c>
      <c r="D26" t="s">
        <v>521</v>
      </c>
      <c r="J26" s="24"/>
    </row>
    <row r="27" spans="1:15" x14ac:dyDescent="0.25">
      <c r="J27" s="24"/>
    </row>
    <row r="28" spans="1:15" x14ac:dyDescent="0.25">
      <c r="D28" s="18" t="s">
        <v>522</v>
      </c>
      <c r="J28" s="24"/>
    </row>
    <row r="29" spans="1:15" x14ac:dyDescent="0.25">
      <c r="D29" s="36" t="s">
        <v>523</v>
      </c>
      <c r="J29" s="24"/>
    </row>
    <row r="30" spans="1:15" x14ac:dyDescent="0.25">
      <c r="D30" s="36" t="s">
        <v>524</v>
      </c>
      <c r="J30" s="24"/>
    </row>
    <row r="31" spans="1:15" x14ac:dyDescent="0.25">
      <c r="D31" s="36" t="s">
        <v>525</v>
      </c>
      <c r="J31" s="24"/>
    </row>
    <row r="32" spans="1:15" x14ac:dyDescent="0.25">
      <c r="D32" s="36" t="s">
        <v>526</v>
      </c>
      <c r="J32" s="24"/>
    </row>
    <row r="33" spans="1:24" x14ac:dyDescent="0.25">
      <c r="D33" s="43" t="s">
        <v>527</v>
      </c>
      <c r="J33" s="24"/>
    </row>
    <row r="34" spans="1:24" x14ac:dyDescent="0.25">
      <c r="D34" s="43" t="s">
        <v>528</v>
      </c>
      <c r="J34" s="24"/>
    </row>
    <row r="35" spans="1:24" x14ac:dyDescent="0.25">
      <c r="D35" s="36" t="s">
        <v>529</v>
      </c>
      <c r="J35" s="24"/>
    </row>
    <row r="36" spans="1:24" x14ac:dyDescent="0.25">
      <c r="D36" t="s">
        <v>530</v>
      </c>
      <c r="J36" s="24"/>
      <c r="L36" s="54"/>
    </row>
    <row r="37" spans="1:24" x14ac:dyDescent="0.25">
      <c r="D37" t="s">
        <v>531</v>
      </c>
      <c r="J37" s="24"/>
      <c r="L37" s="54"/>
    </row>
    <row r="38" spans="1:24" x14ac:dyDescent="0.25">
      <c r="D38" s="36" t="s">
        <v>532</v>
      </c>
      <c r="L38" s="54"/>
    </row>
    <row r="39" spans="1:24" x14ac:dyDescent="0.25">
      <c r="L39" s="54"/>
    </row>
    <row r="40" spans="1:24" x14ac:dyDescent="0.25">
      <c r="L40" s="54"/>
      <c r="P40" s="18" t="s">
        <v>533</v>
      </c>
    </row>
    <row r="41" spans="1:24" ht="15.75" thickBot="1" x14ac:dyDescent="0.3">
      <c r="A41" s="18" t="s">
        <v>534</v>
      </c>
      <c r="L41" s="54"/>
      <c r="Q41" t="s">
        <v>535</v>
      </c>
      <c r="R41" t="s">
        <v>536</v>
      </c>
      <c r="S41" t="s">
        <v>537</v>
      </c>
      <c r="T41" t="s">
        <v>538</v>
      </c>
      <c r="X41" t="s">
        <v>539</v>
      </c>
    </row>
    <row r="42" spans="1:24" ht="44.25" customHeight="1" thickBot="1" x14ac:dyDescent="0.3">
      <c r="A42" s="24" t="s">
        <v>540</v>
      </c>
      <c r="B42" s="24" t="s">
        <v>541</v>
      </c>
      <c r="C42" s="24" t="s">
        <v>542</v>
      </c>
      <c r="D42" s="24" t="s">
        <v>543</v>
      </c>
      <c r="E42" s="24" t="s">
        <v>544</v>
      </c>
      <c r="F42" s="24" t="s">
        <v>545</v>
      </c>
      <c r="G42" s="24" t="s">
        <v>546</v>
      </c>
      <c r="H42" s="24" t="s">
        <v>547</v>
      </c>
      <c r="I42" s="24" t="s">
        <v>360</v>
      </c>
      <c r="J42" s="24" t="s">
        <v>548</v>
      </c>
      <c r="K42" s="24" t="s">
        <v>549</v>
      </c>
      <c r="L42" s="24" t="s">
        <v>550</v>
      </c>
      <c r="M42" s="24" t="s">
        <v>551</v>
      </c>
      <c r="N42" s="24" t="s">
        <v>552</v>
      </c>
      <c r="O42" s="24" t="s">
        <v>39</v>
      </c>
      <c r="P42" s="45" t="s">
        <v>25</v>
      </c>
      <c r="Q42" s="45" t="s">
        <v>26</v>
      </c>
      <c r="R42" s="46" t="s">
        <v>27</v>
      </c>
      <c r="S42" s="47" t="s">
        <v>377</v>
      </c>
      <c r="T42" s="47" t="s">
        <v>553</v>
      </c>
      <c r="U42" s="47" t="s">
        <v>30</v>
      </c>
      <c r="V42" s="47" t="s">
        <v>31</v>
      </c>
      <c r="W42" s="47" t="s">
        <v>32</v>
      </c>
      <c r="X42" s="47" t="s">
        <v>554</v>
      </c>
    </row>
    <row r="43" spans="1:24" ht="42.75" customHeight="1" thickBot="1" x14ac:dyDescent="0.3">
      <c r="A43" t="s">
        <v>106</v>
      </c>
      <c r="B43">
        <v>60</v>
      </c>
      <c r="C43">
        <v>0</v>
      </c>
      <c r="D43">
        <v>1</v>
      </c>
      <c r="E43" t="s">
        <v>106</v>
      </c>
      <c r="F43" t="s">
        <v>106</v>
      </c>
      <c r="G43" t="s">
        <v>369</v>
      </c>
      <c r="H43" t="s">
        <v>555</v>
      </c>
      <c r="I43" s="125" t="s">
        <v>556</v>
      </c>
      <c r="J43" s="31">
        <v>0.35</v>
      </c>
      <c r="K43" s="31"/>
      <c r="L43" s="55" t="s">
        <v>557</v>
      </c>
      <c r="M43" t="s">
        <v>558</v>
      </c>
      <c r="N43" t="s">
        <v>559</v>
      </c>
      <c r="O43" t="s">
        <v>560</v>
      </c>
      <c r="P43" s="48">
        <v>1</v>
      </c>
      <c r="Q43" s="49" t="s">
        <v>561</v>
      </c>
      <c r="R43" s="49" t="s">
        <v>562</v>
      </c>
      <c r="S43" s="49" t="s">
        <v>563</v>
      </c>
      <c r="T43" s="49" t="s">
        <v>564</v>
      </c>
      <c r="U43" s="49" t="s">
        <v>106</v>
      </c>
      <c r="V43" s="49" t="s">
        <v>565</v>
      </c>
      <c r="W43" s="49" t="s">
        <v>566</v>
      </c>
      <c r="X43" s="49" t="s">
        <v>567</v>
      </c>
    </row>
    <row r="44" spans="1:24" ht="65.25" customHeight="1" thickBot="1" x14ac:dyDescent="0.3">
      <c r="A44" t="s">
        <v>42</v>
      </c>
      <c r="B44">
        <v>90</v>
      </c>
      <c r="C44">
        <v>30</v>
      </c>
      <c r="D44">
        <v>2</v>
      </c>
      <c r="E44" t="s">
        <v>568</v>
      </c>
      <c r="G44" t="s">
        <v>413</v>
      </c>
      <c r="H44" t="s">
        <v>569</v>
      </c>
      <c r="I44" s="126" t="s">
        <v>570</v>
      </c>
      <c r="J44" s="32">
        <v>0.45</v>
      </c>
      <c r="K44" s="32"/>
      <c r="L44" s="55" t="s">
        <v>571</v>
      </c>
      <c r="M44" t="s">
        <v>572</v>
      </c>
      <c r="N44" t="s">
        <v>573</v>
      </c>
      <c r="O44" t="s">
        <v>574</v>
      </c>
      <c r="P44" s="48">
        <v>2</v>
      </c>
      <c r="Q44" s="49" t="s">
        <v>561</v>
      </c>
      <c r="R44" s="49" t="s">
        <v>575</v>
      </c>
      <c r="S44" s="49" t="s">
        <v>576</v>
      </c>
      <c r="T44" s="49" t="s">
        <v>577</v>
      </c>
      <c r="U44" s="49" t="s">
        <v>106</v>
      </c>
      <c r="V44" s="49" t="s">
        <v>578</v>
      </c>
      <c r="W44" s="49">
        <v>180</v>
      </c>
      <c r="X44" s="49" t="s">
        <v>579</v>
      </c>
    </row>
    <row r="45" spans="1:24" x14ac:dyDescent="0.25">
      <c r="B45">
        <v>120</v>
      </c>
      <c r="C45">
        <v>60</v>
      </c>
      <c r="D45">
        <v>3</v>
      </c>
      <c r="H45" t="s">
        <v>580</v>
      </c>
      <c r="I45" s="38" t="s">
        <v>581</v>
      </c>
      <c r="J45" s="33">
        <v>0.15</v>
      </c>
      <c r="K45" s="33"/>
      <c r="M45" t="s">
        <v>582</v>
      </c>
      <c r="N45" t="s">
        <v>583</v>
      </c>
    </row>
    <row r="46" spans="1:24" x14ac:dyDescent="0.25">
      <c r="B46">
        <v>150</v>
      </c>
      <c r="C46">
        <v>90</v>
      </c>
      <c r="D46">
        <v>4</v>
      </c>
      <c r="H46" t="s">
        <v>394</v>
      </c>
      <c r="I46" s="127" t="s">
        <v>584</v>
      </c>
      <c r="J46" s="33">
        <v>0.05</v>
      </c>
      <c r="K46" s="33"/>
      <c r="M46" t="s">
        <v>585</v>
      </c>
      <c r="N46" t="s">
        <v>586</v>
      </c>
    </row>
    <row r="47" spans="1:24" x14ac:dyDescent="0.25">
      <c r="B47">
        <v>180</v>
      </c>
      <c r="D47">
        <v>5</v>
      </c>
      <c r="H47" t="s">
        <v>587</v>
      </c>
      <c r="I47" s="127" t="s">
        <v>588</v>
      </c>
      <c r="J47" s="33">
        <v>0</v>
      </c>
      <c r="K47" s="33"/>
      <c r="M47" t="s">
        <v>589</v>
      </c>
      <c r="N47" t="s">
        <v>590</v>
      </c>
    </row>
    <row r="48" spans="1:24" x14ac:dyDescent="0.25">
      <c r="B48" s="24" t="s">
        <v>591</v>
      </c>
      <c r="D48">
        <v>6</v>
      </c>
      <c r="H48" t="s">
        <v>592</v>
      </c>
      <c r="I48" s="26" t="s">
        <v>593</v>
      </c>
      <c r="J48" s="34">
        <v>0</v>
      </c>
      <c r="K48" s="34"/>
    </row>
    <row r="49" spans="2:11" ht="30" x14ac:dyDescent="0.25">
      <c r="B49" s="24" t="s">
        <v>568</v>
      </c>
      <c r="H49" t="s">
        <v>594</v>
      </c>
      <c r="I49" s="27" t="s">
        <v>595</v>
      </c>
      <c r="J49" s="35">
        <v>0</v>
      </c>
      <c r="K49" s="35"/>
    </row>
    <row r="50" spans="2:11" x14ac:dyDescent="0.25">
      <c r="H50" t="s">
        <v>596</v>
      </c>
      <c r="I50" s="126" t="s">
        <v>597</v>
      </c>
      <c r="J50" s="32">
        <v>0</v>
      </c>
      <c r="K50" s="32"/>
    </row>
    <row r="51" spans="2:11" x14ac:dyDescent="0.25">
      <c r="H51" t="s">
        <v>598</v>
      </c>
      <c r="J51" s="39"/>
    </row>
    <row r="52" spans="2:11" x14ac:dyDescent="0.25">
      <c r="H52" t="s">
        <v>599</v>
      </c>
      <c r="J52" s="37"/>
    </row>
    <row r="53" spans="2:11" x14ac:dyDescent="0.25">
      <c r="H53" t="s">
        <v>600</v>
      </c>
      <c r="J53" s="37"/>
    </row>
    <row r="54" spans="2:11" x14ac:dyDescent="0.25">
      <c r="H54" t="s">
        <v>601</v>
      </c>
      <c r="J54" s="37"/>
    </row>
    <row r="55" spans="2:11" x14ac:dyDescent="0.25">
      <c r="H55" t="s">
        <v>602</v>
      </c>
      <c r="J55" s="37"/>
    </row>
    <row r="56" spans="2:11" x14ac:dyDescent="0.25">
      <c r="H56" t="s">
        <v>603</v>
      </c>
      <c r="J56" s="37"/>
    </row>
    <row r="57" spans="2:11" x14ac:dyDescent="0.25">
      <c r="H57" t="s">
        <v>604</v>
      </c>
      <c r="J57" s="37"/>
    </row>
    <row r="58" spans="2:11" x14ac:dyDescent="0.25">
      <c r="H58" t="s">
        <v>605</v>
      </c>
      <c r="J58" s="37"/>
    </row>
    <row r="59" spans="2:11" x14ac:dyDescent="0.25">
      <c r="H59" t="s">
        <v>606</v>
      </c>
      <c r="J59" s="37"/>
    </row>
    <row r="60" spans="2:11" x14ac:dyDescent="0.25">
      <c r="H60" t="s">
        <v>607</v>
      </c>
      <c r="J60" s="37"/>
    </row>
    <row r="61" spans="2:11" x14ac:dyDescent="0.25">
      <c r="H61" t="s">
        <v>608</v>
      </c>
      <c r="J61" s="37"/>
    </row>
    <row r="62" spans="2:11" x14ac:dyDescent="0.25">
      <c r="H62" t="s">
        <v>609</v>
      </c>
      <c r="J62" s="37"/>
    </row>
    <row r="63" spans="2:11" x14ac:dyDescent="0.25">
      <c r="H63" t="s">
        <v>610</v>
      </c>
      <c r="J63" s="37"/>
    </row>
    <row r="64" spans="2:11" x14ac:dyDescent="0.25">
      <c r="H64" t="s">
        <v>611</v>
      </c>
      <c r="J64" s="37"/>
    </row>
    <row r="65" spans="1:10" x14ac:dyDescent="0.25">
      <c r="H65" t="s">
        <v>612</v>
      </c>
      <c r="J65" s="37"/>
    </row>
    <row r="66" spans="1:10" x14ac:dyDescent="0.25">
      <c r="H66" t="s">
        <v>613</v>
      </c>
      <c r="J66" s="37"/>
    </row>
    <row r="67" spans="1:10" x14ac:dyDescent="0.25">
      <c r="H67" t="s">
        <v>614</v>
      </c>
      <c r="J67" s="37"/>
    </row>
    <row r="68" spans="1:10" x14ac:dyDescent="0.25">
      <c r="H68" t="s">
        <v>615</v>
      </c>
      <c r="J68" s="37"/>
    </row>
    <row r="69" spans="1:10" x14ac:dyDescent="0.25">
      <c r="H69" t="s">
        <v>616</v>
      </c>
      <c r="J69" s="37"/>
    </row>
    <row r="70" spans="1:10" x14ac:dyDescent="0.25">
      <c r="H70" t="s">
        <v>617</v>
      </c>
      <c r="J70" s="37"/>
    </row>
    <row r="71" spans="1:10" x14ac:dyDescent="0.25">
      <c r="H71" t="s">
        <v>618</v>
      </c>
      <c r="J71" s="37"/>
    </row>
    <row r="74" spans="1:10" ht="15.75" thickBot="1" x14ac:dyDescent="0.3"/>
    <row r="75" spans="1:10" x14ac:dyDescent="0.25">
      <c r="A75" s="76" t="s">
        <v>619</v>
      </c>
      <c r="B75" t="s">
        <v>620</v>
      </c>
    </row>
    <row r="76" spans="1:10" x14ac:dyDescent="0.25">
      <c r="A76" s="74" t="str" cm="1">
        <f t="array" ref="A76:A89">_xlfn.UNIQUE(tabell_produktkrav_1[Kravsett])</f>
        <v>Generelle</v>
      </c>
    </row>
    <row r="77" spans="1:10" x14ac:dyDescent="0.25">
      <c r="A77" s="74" t="str">
        <v>Inj/inf</v>
      </c>
    </row>
    <row r="78" spans="1:10" x14ac:dyDescent="0.25">
      <c r="A78" s="74" t="str">
        <v>Tørrstoff</v>
      </c>
    </row>
    <row r="79" spans="1:10" x14ac:dyDescent="0.25">
      <c r="A79" s="74" t="str">
        <v>Infusjon</v>
      </c>
    </row>
    <row r="80" spans="1:10" x14ac:dyDescent="0.25">
      <c r="A80" s="74" t="str">
        <v>A03AD01 Papaverin</v>
      </c>
    </row>
    <row r="81" spans="1:1" x14ac:dyDescent="0.25">
      <c r="A81" s="74" t="str">
        <v>J01EE01 Sulfametoksazol, Trimetoprim</v>
      </c>
    </row>
    <row r="82" spans="1:1" x14ac:dyDescent="0.25">
      <c r="A82" s="74" t="str">
        <v>Tabletter/kapsler</v>
      </c>
    </row>
    <row r="83" spans="1:1" x14ac:dyDescent="0.25">
      <c r="A83" s="74" t="str">
        <v>Mikstur/dråper</v>
      </c>
    </row>
    <row r="84" spans="1:1" x14ac:dyDescent="0.25">
      <c r="A84" s="74" t="str">
        <v>Okulær</v>
      </c>
    </row>
    <row r="85" spans="1:1" x14ac:dyDescent="0.25">
      <c r="A85" s="74" t="str">
        <v>Okulær, endoser</v>
      </c>
    </row>
    <row r="86" spans="1:1" x14ac:dyDescent="0.25">
      <c r="A86" s="74" t="str">
        <v>C02AC01 Klonidin</v>
      </c>
    </row>
    <row r="87" spans="1:1" x14ac:dyDescent="0.25">
      <c r="A87" s="74" t="str">
        <v>D08AG02 Povidon, jodert, til bruk på hud</v>
      </c>
    </row>
    <row r="88" spans="1:1" x14ac:dyDescent="0.25">
      <c r="A88" s="74" t="str">
        <v>D08AG02 Povidon, jodert, til bruk på hud, skrubb, med glyserol</v>
      </c>
    </row>
    <row r="89" spans="1:1" x14ac:dyDescent="0.25">
      <c r="A89" s="74">
        <v>0</v>
      </c>
    </row>
    <row r="90" spans="1:1" x14ac:dyDescent="0.25">
      <c r="A90" s="74"/>
    </row>
    <row r="91" spans="1:1" x14ac:dyDescent="0.25">
      <c r="A91" s="74"/>
    </row>
    <row r="92" spans="1:1" x14ac:dyDescent="0.25">
      <c r="A92" s="74"/>
    </row>
    <row r="93" spans="1:1" x14ac:dyDescent="0.25">
      <c r="A93" s="74"/>
    </row>
    <row r="94" spans="1:1" x14ac:dyDescent="0.25">
      <c r="A94" s="74"/>
    </row>
    <row r="95" spans="1:1" x14ac:dyDescent="0.25">
      <c r="A95" s="74"/>
    </row>
    <row r="96" spans="1:1" x14ac:dyDescent="0.25">
      <c r="A96" s="74"/>
    </row>
    <row r="97" spans="1:1" x14ac:dyDescent="0.25">
      <c r="A97" s="74"/>
    </row>
    <row r="98" spans="1:1" x14ac:dyDescent="0.25">
      <c r="A98" s="74"/>
    </row>
    <row r="99" spans="1:1" x14ac:dyDescent="0.25">
      <c r="A99" s="74"/>
    </row>
    <row r="100" spans="1:1" x14ac:dyDescent="0.25">
      <c r="A100" s="74"/>
    </row>
    <row r="101" spans="1:1" x14ac:dyDescent="0.25">
      <c r="A101" s="74"/>
    </row>
    <row r="102" spans="1:1" x14ac:dyDescent="0.25">
      <c r="A102" s="74"/>
    </row>
    <row r="103" spans="1:1" x14ac:dyDescent="0.25">
      <c r="A103" s="74"/>
    </row>
    <row r="104" spans="1:1" x14ac:dyDescent="0.25">
      <c r="A104" s="74"/>
    </row>
    <row r="105" spans="1:1" x14ac:dyDescent="0.25">
      <c r="A105" s="74"/>
    </row>
    <row r="106" spans="1:1" x14ac:dyDescent="0.25">
      <c r="A106" s="74"/>
    </row>
    <row r="107" spans="1:1" x14ac:dyDescent="0.25">
      <c r="A107" s="74"/>
    </row>
    <row r="108" spans="1:1" x14ac:dyDescent="0.25">
      <c r="A108" s="74"/>
    </row>
    <row r="109" spans="1:1" ht="15.75" thickBot="1" x14ac:dyDescent="0.3">
      <c r="A109" s="75"/>
    </row>
  </sheetData>
  <phoneticPr fontId="25" type="noConversion"/>
  <pageMargins left="0.7" right="0.7" top="0.75" bottom="0.75" header="0.3" footer="0.3"/>
  <pageSetup paperSize="9"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C25003EF3CEA4E98B6276DCECD5933" ma:contentTypeVersion="16" ma:contentTypeDescription="Opprett et nytt dokument." ma:contentTypeScope="" ma:versionID="f68121710cb41eb10126c5b1d265865c">
  <xsd:schema xmlns:xsd="http://www.w3.org/2001/XMLSchema" xmlns:xs="http://www.w3.org/2001/XMLSchema" xmlns:p="http://schemas.microsoft.com/office/2006/metadata/properties" xmlns:ns2="694b94fb-7d12-460f-8352-d836dedbe3d8" xmlns:ns3="61ee015b-1d26-4d10-a1cf-680b43da1703" targetNamespace="http://schemas.microsoft.com/office/2006/metadata/properties" ma:root="true" ma:fieldsID="b2c97cde370842bdf76b3fdc160739bf" ns2:_="" ns3:_="">
    <xsd:import namespace="694b94fb-7d12-460f-8352-d836dedbe3d8"/>
    <xsd:import namespace="61ee015b-1d26-4d10-a1cf-680b43da17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4b94fb-7d12-460f-8352-d836dedbe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a64a8461-4d9a-4b5d-93bd-86a5dfa08d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1ee015b-1d26-4d10-a1cf-680b43da1703"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2926b062-38cf-49fe-adf1-adcd1554e8e3}" ma:internalName="TaxCatchAll" ma:showField="CatchAllData" ma:web="61ee015b-1d26-4d10-a1cf-680b43da17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94b94fb-7d12-460f-8352-d836dedbe3d8">
      <Terms xmlns="http://schemas.microsoft.com/office/infopath/2007/PartnerControls"/>
    </lcf76f155ced4ddcb4097134ff3c332f>
    <TaxCatchAll xmlns="61ee015b-1d26-4d10-a1cf-680b43da170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CF30E6-DB92-4FBE-A7CC-125A1F34D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4b94fb-7d12-460f-8352-d836dedbe3d8"/>
    <ds:schemaRef ds:uri="61ee015b-1d26-4d10-a1cf-680b43da17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32CC48-B7A6-4321-804B-5B8A0A73A5CB}">
  <ds:schemaRefs>
    <ds:schemaRef ds:uri="http://schemas.microsoft.com/office/2006/metadata/properties"/>
    <ds:schemaRef ds:uri="http://schemas.microsoft.com/office/infopath/2007/PartnerControls"/>
    <ds:schemaRef ds:uri="694b94fb-7d12-460f-8352-d836dedbe3d8"/>
    <ds:schemaRef ds:uri="61ee015b-1d26-4d10-a1cf-680b43da1703"/>
  </ds:schemaRefs>
</ds:datastoreItem>
</file>

<file path=customXml/itemProps3.xml><?xml version="1.0" encoding="utf-8"?>
<ds:datastoreItem xmlns:ds="http://schemas.openxmlformats.org/officeDocument/2006/customXml" ds:itemID="{754D5F87-7B5B-4A98-9ADD-74AF55F61B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Navngitte områder</vt:lpstr>
      </vt:variant>
      <vt:variant>
        <vt:i4>16</vt:i4>
      </vt:variant>
    </vt:vector>
  </HeadingPairs>
  <TitlesOfParts>
    <vt:vector size="22" baseType="lpstr">
      <vt:lpstr>1. Innhold</vt:lpstr>
      <vt:lpstr>2. Forklaring til kravspes.</vt:lpstr>
      <vt:lpstr>3. Anskaffelsen</vt:lpstr>
      <vt:lpstr>4. Krav til lev.</vt:lpstr>
      <vt:lpstr>5. Krav til prod.</vt:lpstr>
      <vt:lpstr>Lister</vt:lpstr>
      <vt:lpstr>Anskaffelsesnavn</vt:lpstr>
      <vt:lpstr>Delleveranse</vt:lpstr>
      <vt:lpstr>Dokumentnavn</vt:lpstr>
      <vt:lpstr>Dokumentnummer</vt:lpstr>
      <vt:lpstr>kravtype</vt:lpstr>
      <vt:lpstr>navn_Anskaffelseskode</vt:lpstr>
      <vt:lpstr>navn_atc</vt:lpstr>
      <vt:lpstr>navn_bruksomrade</vt:lpstr>
      <vt:lpstr>navn_delleveranse</vt:lpstr>
      <vt:lpstr>navn_leverandornavn</vt:lpstr>
      <vt:lpstr>navn_leverandornavn_produktfane</vt:lpstr>
      <vt:lpstr>navn_Navn_på_kravspesifikasjon</vt:lpstr>
      <vt:lpstr>navn_undergruppe</vt:lpstr>
      <vt:lpstr>navn_virkestoff</vt:lpstr>
      <vt:lpstr>oppfylt</vt:lpstr>
      <vt:lpstr>toggle_betingetFormatering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Heitmann</dc:creator>
  <cp:keywords/>
  <dc:description/>
  <cp:lastModifiedBy>Gudrun Gudnadottir</cp:lastModifiedBy>
  <cp:revision/>
  <dcterms:created xsi:type="dcterms:W3CDTF">2019-10-03T11:31:27Z</dcterms:created>
  <dcterms:modified xsi:type="dcterms:W3CDTF">2022-11-24T12:09:06Z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0x010100A3C25003EF3CEA4E98B6276DCECD5933</vt:lpwstr>
  </property>
  <property fmtid="{D5CDD505-2E9C-101B-9397-08002B2CF9AE}" pid="3" name="MediaServiceImageTags">
    <vt:lpwstr/>
  </property>
</Properties>
</file>