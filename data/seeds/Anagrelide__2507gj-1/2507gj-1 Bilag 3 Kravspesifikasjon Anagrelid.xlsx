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ykehusinnkjop.sharepoint.com/sites/Divisjonlegemidler/Dokumenter Anskaffelser/2025/2507gj onkologi ikke patentert/4. Konkurransen/4.1 Konkurransegrunnlag/2507gj-1 Anagrelid 2024 206/"/>
    </mc:Choice>
  </mc:AlternateContent>
  <xr:revisionPtr revIDLastSave="126" documentId="8_{ED9D4E9E-9810-4BE8-8583-00FDD9C220CA}" xr6:coauthVersionLast="47" xr6:coauthVersionMax="47" xr10:uidLastSave="{FDCDA7A9-C0DE-488E-A225-D1D7FF0CB9E2}"/>
  <bookViews>
    <workbookView xWindow="25335" yWindow="930" windowWidth="23655" windowHeight="18195" tabRatio="740" activeTab="3" xr2:uid="{A37B8016-6F1C-4E9D-BB8F-83E5E8E43DD3}"/>
  </bookViews>
  <sheets>
    <sheet name="1. Innhold" sheetId="1" r:id="rId1"/>
    <sheet name="2. Forklaring til kravspes." sheetId="2" r:id="rId2"/>
    <sheet name="3. Anskaffelsen" sheetId="3" r:id="rId3"/>
    <sheet name="4. Krav overordnet nivå" sheetId="4" r:id="rId4"/>
    <sheet name="5. Krav til prod." sheetId="5" r:id="rId5"/>
    <sheet name="Lister" sheetId="6" state="hidden" r:id="rId6"/>
  </sheets>
  <externalReferences>
    <externalReference r:id="rId7"/>
  </externalReferences>
  <definedNames>
    <definedName name="_xlnm._FilterDatabase" localSheetId="2" hidden="1">'3. Anskaffelsen'!$B$7:$L$11</definedName>
    <definedName name="Anskaffelsesnavn">Lister!$E$7</definedName>
    <definedName name="Delleveranse">'5. Krav til prod.'!$H$10</definedName>
    <definedName name="Dokumentnavn">Lister!$E$9</definedName>
    <definedName name="Dokumentnummer">Lister!$E$8</definedName>
    <definedName name="kolonnematch_vektingsoppslag">[1]Vektingsoppslag!$D$1</definedName>
    <definedName name="kravtype">Lister!$G$43:$G$44</definedName>
    <definedName name="navn_Anskaffelseskode">Lister!$E$6</definedName>
    <definedName name="navn_atc">'5. Krav til prod.'!$H$21:$J$21</definedName>
    <definedName name="navn_bruksomrade">'5. Krav til prod.'!$H$24</definedName>
    <definedName name="navn_delleveranse">'5. Krav til prod.'!$H$17</definedName>
    <definedName name="navn_leverandornavn">'4. Krav overordnet nivå'!$H$18</definedName>
    <definedName name="navn_leverandornavn_produktfane">'5. Krav til prod.'!$H$16</definedName>
    <definedName name="navn_Navn_på_kravspesifikasjon">Lister!$E$10</definedName>
    <definedName name="navn_undergruppe">'5. Krav til prod.'!$H$23</definedName>
    <definedName name="navn_virkestoff">'5. Krav til prod.'!$H$22</definedName>
    <definedName name="oppfylt">Lister!$E$44:$E$44</definedName>
    <definedName name="toggle_betingetFormatering" comment="Hvis JA - skru på">Lister!$A$26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4" l="1"/>
  <c r="D27" i="4"/>
  <c r="D28" i="4"/>
  <c r="D29" i="4"/>
  <c r="D40" i="5"/>
  <c r="D41" i="5"/>
  <c r="D42" i="5"/>
  <c r="D43" i="5"/>
  <c r="D44" i="5"/>
  <c r="D45" i="5"/>
  <c r="D46" i="5"/>
  <c r="D47" i="5"/>
  <c r="D48" i="5"/>
  <c r="D49" i="5"/>
  <c r="D50" i="5"/>
  <c r="D51" i="5"/>
  <c r="D52" i="5"/>
  <c r="D53" i="5"/>
  <c r="D54" i="5"/>
  <c r="D55" i="5"/>
  <c r="D56" i="5"/>
  <c r="D57" i="5"/>
  <c r="D39" i="5"/>
  <c r="L11" i="3" l="1"/>
  <c r="L10" i="3"/>
  <c r="L9" i="3"/>
  <c r="B28" i="4"/>
  <c r="C28" i="4"/>
  <c r="B54" i="5" l="1"/>
  <c r="C54" i="5"/>
  <c r="B55" i="5"/>
  <c r="C55" i="5"/>
  <c r="I13" i="5"/>
  <c r="J13" i="5"/>
  <c r="C57" i="5"/>
  <c r="B57" i="5"/>
  <c r="C56" i="5"/>
  <c r="B56" i="5"/>
  <c r="C53" i="5"/>
  <c r="B53" i="5"/>
  <c r="C52" i="5"/>
  <c r="B52" i="5"/>
  <c r="C51" i="5"/>
  <c r="B51" i="5"/>
  <c r="C50" i="5"/>
  <c r="B50" i="5"/>
  <c r="C49" i="5"/>
  <c r="B49" i="5"/>
  <c r="C48" i="5"/>
  <c r="B48" i="5"/>
  <c r="C47" i="5"/>
  <c r="B47" i="5"/>
  <c r="C46" i="5"/>
  <c r="B46" i="5"/>
  <c r="C45" i="5"/>
  <c r="B45" i="5"/>
  <c r="C44" i="5"/>
  <c r="B44" i="5"/>
  <c r="C43" i="5"/>
  <c r="B43" i="5"/>
  <c r="C42" i="5"/>
  <c r="B42" i="5"/>
  <c r="C41" i="5"/>
  <c r="B41" i="5"/>
  <c r="C40" i="5"/>
  <c r="B40" i="5"/>
  <c r="C39" i="5"/>
  <c r="B39" i="5"/>
  <c r="C29" i="4"/>
  <c r="B29" i="4"/>
  <c r="C27" i="4"/>
  <c r="B27" i="4"/>
  <c r="B1" i="1"/>
  <c r="E3" i="4"/>
  <c r="J14" i="4"/>
  <c r="I14" i="4"/>
  <c r="E3" i="5" l="1"/>
  <c r="H20" i="5"/>
  <c r="H22" i="5"/>
  <c r="H21" i="5"/>
  <c r="G35" i="5"/>
  <c r="E19" i="5" a="1"/>
  <c r="E19" i="5" s="1"/>
  <c r="L8" i="3"/>
  <c r="E10" i="5"/>
  <c r="E9" i="5"/>
  <c r="E7" i="5"/>
  <c r="E8" i="5"/>
  <c r="E11" i="5"/>
  <c r="E12" i="5"/>
  <c r="E13" i="5"/>
  <c r="B6" i="3" l="1"/>
  <c r="H7" i="5" l="1"/>
  <c r="H8" i="5"/>
  <c r="H9" i="5"/>
  <c r="H10" i="5"/>
  <c r="H11" i="5"/>
  <c r="A76" i="6" l="1" a="1"/>
  <c r="A76" i="6" s="1"/>
  <c r="H18" i="5"/>
  <c r="E35" i="5"/>
  <c r="E8" i="4"/>
  <c r="H8" i="4"/>
  <c r="E9" i="4"/>
  <c r="H9" i="4"/>
  <c r="E10" i="4"/>
  <c r="H10" i="4"/>
  <c r="E11" i="4"/>
  <c r="H11" i="4"/>
  <c r="E12" i="4"/>
  <c r="H12" i="4"/>
  <c r="E13" i="4"/>
  <c r="E14" i="4"/>
  <c r="H14" i="4"/>
  <c r="H6" i="6" l="1"/>
  <c r="H12" i="5" l="1"/>
  <c r="H13" i="5"/>
  <c r="H24" i="5" l="1"/>
  <c r="H2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tc={E9A395FD-12B0-4BD7-89E7-15C75ED3F80D}</author>
  </authors>
  <commentList>
    <comment ref="D4" authorId="0" shapeId="0" xr:uid="{E9A395FD-12B0-4BD7-89E7-15C75ED3F80D}">
      <text>
        <t>[Kommentartråd]
Din versjon av Excel lar deg lese denne kommentartråden. Eventuelle endringer i den vil imidlertid bli fjernet hvis filen åpnes i en nyere versjon av Excel. Finn ut mer: https://go.microsoft.com/fwlink/?linkid=870924
Kommentar:
    Sett inn sammenslått streng for typ filnavn..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<sst xmlns="http://schemas.openxmlformats.org/spreadsheetml/2006/main" count="481" uniqueCount="374">
  <si>
    <r>
      <t>1.</t>
    </r>
    <r>
      <rPr>
        <b/>
        <sz val="7"/>
        <color theme="1"/>
        <rFont val="Times New Roman"/>
        <family val="1"/>
      </rPr>
      <t xml:space="preserve">    </t>
    </r>
    <r>
      <rPr>
        <b/>
        <sz val="16"/>
        <color theme="1"/>
        <rFont val="Calibri"/>
        <family val="2"/>
        <scheme val="minor"/>
      </rPr>
      <t xml:space="preserve">Innhold </t>
    </r>
  </si>
  <si>
    <t>Dette dokumentet består av:</t>
  </si>
  <si>
    <t xml:space="preserve">-          Forklaring til kravspesifikasjonen </t>
  </si>
  <si>
    <t>-          Anskaffelsens innhold</t>
  </si>
  <si>
    <t>-          Krav til leverandøren</t>
  </si>
  <si>
    <t>-          Krav til produktene</t>
  </si>
  <si>
    <r>
      <t>2.</t>
    </r>
    <r>
      <rPr>
        <b/>
        <sz val="7"/>
        <color theme="1"/>
        <rFont val="Times New Roman"/>
        <family val="1"/>
      </rPr>
      <t xml:space="preserve">    </t>
    </r>
    <r>
      <rPr>
        <b/>
        <sz val="16"/>
        <color theme="1"/>
        <rFont val="Calibri"/>
        <family val="2"/>
        <scheme val="minor"/>
      </rPr>
      <t xml:space="preserve">Forklaring til kravspesifikasjonen </t>
    </r>
  </si>
  <si>
    <t>Oppdragsgiver har angitt formålet med anskaffelsen og sine krav og behov i kravspesifikasjonen. Dette danner grunnlaget for Tilbyderens tilbud.</t>
  </si>
  <si>
    <r>
      <t>I kravspesifikasjonen er det lagt vekt på å beskrive de behov som skal dekkes. Tilbyderen skal med utgangspunkt i kravspesifikasjonens rammer gi tilbud på forespurte produkter og beskrive hvordan kravene som stilles vil bli oppfylt. Tilbyderen er ansvarlig for at leveransen til enhver tid dekker kravene som er spesifisert</t>
    </r>
    <r>
      <rPr>
        <i/>
        <sz val="11"/>
        <color rgb="FF000000"/>
        <rFont val="Arial"/>
        <family val="2"/>
      </rPr>
      <t>.</t>
    </r>
  </si>
  <si>
    <r>
      <t>Tilbyderen skal besvare kravene direkte i kravspesifikasjonen og henvise til egne vedlegg ved behov. En tydelig og poengtert besvarelse vil lette Oppdragsgivers evaluering av tilbudet og sikre at korrekt informasjon blir brukt ved evalueringen. Det skal også her henvises til hvor i besvarelsen en eventuell utdypende beskrivelse, som kan ha betydning ved evalueringen, finnes. Henvisningen skal gi informasjon om navn på dokument, side og avsnitt. En besvarelse som for eksempel "se katalog/brosjyre" er ikke ønskelig, og kan føre til at tilbudet blir evaluert uten at Oppdragsgiver har kjennskap til alle egenskaper ved tilbudet/produktet.</t>
    </r>
    <r>
      <rPr>
        <sz val="8"/>
        <color rgb="FF000000"/>
        <rFont val="Calibri"/>
        <family val="2"/>
        <scheme val="minor"/>
      </rPr>
      <t> </t>
    </r>
  </si>
  <si>
    <r>
      <t>Kravene er utformet som SKAL-krav ("S") og BØR-krav ("B"). Dette kommer frem i kolonnen "kravtype</t>
    </r>
    <r>
      <rPr>
        <b/>
        <sz val="11"/>
        <color theme="1"/>
        <rFont val="Calibri"/>
        <family val="2"/>
        <scheme val="minor"/>
      </rPr>
      <t>"</t>
    </r>
    <r>
      <rPr>
        <sz val="11"/>
        <color theme="1"/>
        <rFont val="Calibri"/>
        <family val="2"/>
        <scheme val="minor"/>
      </rPr>
      <t xml:space="preserve"> i tabellene.</t>
    </r>
  </si>
  <si>
    <r>
      <t>SKAL-krav er minstekrav til produktet. Alle SKAL-krav må være oppfylt for at produktet skal bli evaluert. Manglende oppfyllelse av SKAL-krav er et vesentlig avvik fra kravspesifikasjonen og vil medføre at tilbudet for de</t>
    </r>
    <r>
      <rPr>
        <sz val="11"/>
        <color rgb="FF366092"/>
        <rFont val="Calibri"/>
        <family val="2"/>
        <scheme val="minor"/>
      </rPr>
      <t>t</t>
    </r>
    <r>
      <rPr>
        <sz val="11"/>
        <color theme="1"/>
        <rFont val="Calibri"/>
        <family val="2"/>
        <scheme val="minor"/>
      </rPr>
      <t xml:space="preserve"> aktuelle produktet, eller den delkontrakten produktet tilhører,</t>
    </r>
    <r>
      <rPr>
        <sz val="11"/>
        <color rgb="FF000000"/>
        <rFont val="Calibri"/>
        <family val="2"/>
        <scheme val="minor"/>
      </rPr>
      <t xml:space="preserve"> avvises fra konkurransen. SKAL-krav vil ikke bli evaluert utover om det er oppfylt eller ikke.</t>
    </r>
    <r>
      <rPr>
        <b/>
        <sz val="11"/>
        <color rgb="FFFF0000"/>
        <rFont val="Calibri"/>
        <family val="2"/>
        <scheme val="minor"/>
      </rPr>
      <t xml:space="preserve"> </t>
    </r>
    <r>
      <rPr>
        <sz val="11"/>
        <color rgb="FF000000"/>
        <rFont val="Calibri"/>
        <family val="2"/>
        <scheme val="minor"/>
      </rPr>
      <t>Tilbyderen</t>
    </r>
    <r>
      <rPr>
        <b/>
        <sz val="11"/>
        <color rgb="FF000000"/>
        <rFont val="Calibri"/>
        <family val="2"/>
        <scheme val="minor"/>
      </rPr>
      <t xml:space="preserve"> </t>
    </r>
    <r>
      <rPr>
        <sz val="11"/>
        <color rgb="FF000000"/>
        <rFont val="Calibri"/>
        <family val="2"/>
        <scheme val="minor"/>
      </rPr>
      <t xml:space="preserve">skal angi svar 'JA' eller velge et eventuelt alternativ i nedtrekksmenyen for om det tilbudte produkt oppfyller kravet som angis i punktet. </t>
    </r>
  </si>
  <si>
    <r>
      <t>BØR-krav er momenter som vil bli tillagt vekt i evalueringen av kvalitet og miljø</t>
    </r>
    <r>
      <rPr>
        <b/>
        <sz val="11"/>
        <rFont val="Calibri"/>
        <family val="2"/>
        <scheme val="minor"/>
      </rPr>
      <t xml:space="preserve">. </t>
    </r>
    <r>
      <rPr>
        <sz val="11"/>
        <rFont val="Calibri"/>
        <family val="2"/>
        <scheme val="minor"/>
      </rPr>
      <t>For BØR-krav vurderer Oppdragsgiver hvor godt de aktuelle kravene er oppfylt. Produkter som oppfyller BØR-kravene best, vil få flest poeng.</t>
    </r>
  </si>
  <si>
    <t>Tilbyderen skal fylle ut de hvite feltene i kravspesifikasjonen. Tilbyderen skal ikke legge til eller slette verken linjer eller kolonner i kravspesifikasjonen.</t>
  </si>
  <si>
    <t xml:space="preserve">For produkter som er angitt som 'ikke relevant for anskaffelsen' i Bilag 02 prisskjema, er det ikke nødvendig å fylle ut kravspesifikasjon. Dersom det leveres tilbud på på produkt som ikke er likeverdig med legemidler oppført Bilag 02  prisskjema, bes leverandør legge til korrekt informasjon i Arkfane 3, i tomme grå rader merket med Delkontrakt 0. </t>
  </si>
  <si>
    <r>
      <t>Oppdragsgiver har gitt hver linje i kravspesifikasjonen et unikt identifikasjonsnummer</t>
    </r>
    <r>
      <rPr>
        <sz val="11"/>
        <color theme="1"/>
        <rFont val="Calibri"/>
        <family val="2"/>
        <scheme val="minor"/>
      </rPr>
      <t xml:space="preserve"> (kolonne D)</t>
    </r>
    <r>
      <rPr>
        <sz val="11"/>
        <color rgb="FF000000"/>
        <rFont val="Calibri"/>
        <family val="2"/>
        <scheme val="minor"/>
      </rPr>
      <t>. Dette for lettere å kunne henvise til riktig punkt i kravspesifikasjonen ved behov.</t>
    </r>
  </si>
  <si>
    <t>2.1 - Leverandør</t>
  </si>
  <si>
    <t>Arkfane 'Krav til lev.' fylles kun ut én gang for hver Leverandør.</t>
  </si>
  <si>
    <t>2.2 - Produkt</t>
  </si>
  <si>
    <t>Det skal leveres én besvarelse per delleveranse (ATC/substans/undergruppe/bruksområde). Arkfane 'Krav til prod.'</t>
  </si>
  <si>
    <r>
      <t>3.</t>
    </r>
    <r>
      <rPr>
        <b/>
        <sz val="7"/>
        <color theme="1"/>
        <rFont val="Times New Roman"/>
        <family val="1"/>
      </rPr>
      <t xml:space="preserve">    </t>
    </r>
    <r>
      <rPr>
        <b/>
        <sz val="16"/>
        <color theme="1"/>
        <rFont val="Calibri"/>
        <family val="2"/>
        <scheme val="minor"/>
      </rPr>
      <t>Beskrivelse av anskaffelsens innhold</t>
    </r>
  </si>
  <si>
    <t>Det ønskes tilbud på følgende delkontrakter innenfor området</t>
  </si>
  <si>
    <t>SKJULES? HVOR MANGE TRENGS?</t>
  </si>
  <si>
    <t>Kravsett for delkontrakt - se arkfane 5. Krav til prod</t>
  </si>
  <si>
    <t>Delkontrakt</t>
  </si>
  <si>
    <t>Kategori ernæring/inf skyll</t>
  </si>
  <si>
    <t>ATC</t>
  </si>
  <si>
    <t>Virkestoff Sykehusinnkjøp</t>
  </si>
  <si>
    <t>Legemiddelformgruppe</t>
  </si>
  <si>
    <t>Bruksparameter Sykehusinnkjøp</t>
  </si>
  <si>
    <t>Emballasjetype Sykehusinnkjøp</t>
  </si>
  <si>
    <t>Parallell avtale Ja/nei</t>
  </si>
  <si>
    <t>Begrunnelse for parallell avtale</t>
  </si>
  <si>
    <t>Forventet lager hos grossist i Norge (B180, G2021) (inntil antall dager)</t>
  </si>
  <si>
    <t>Kravsett for delleveranse</t>
  </si>
  <si>
    <t>Kravsett 1</t>
  </si>
  <si>
    <t>Kravsett 2</t>
  </si>
  <si>
    <t>Kravsett 3</t>
  </si>
  <si>
    <t>Kravsett 4</t>
  </si>
  <si>
    <t>Kravsett 5</t>
  </si>
  <si>
    <t>Kravsett 6</t>
  </si>
  <si>
    <t>Kravsett 7</t>
  </si>
  <si>
    <t>Kravsett 8</t>
  </si>
  <si>
    <t>Kravsett 9</t>
  </si>
  <si>
    <t>Kravsett 10</t>
  </si>
  <si>
    <t>Tørrstoff</t>
  </si>
  <si>
    <t/>
  </si>
  <si>
    <t>Ja</t>
  </si>
  <si>
    <t>Generelle</t>
  </si>
  <si>
    <t>Tablett/kapsel</t>
  </si>
  <si>
    <t>Endose, elektronisk identifiserbar</t>
  </si>
  <si>
    <t>NB: Det må leveres én besvarelse per leverandør</t>
  </si>
  <si>
    <r>
      <t>Tildlingskriterier/</t>
    </r>
    <r>
      <rPr>
        <sz val="11"/>
        <color rgb="FFFFFFFF"/>
        <rFont val="Calibri"/>
        <family val="2"/>
        <scheme val="minor"/>
      </rPr>
      <t>underkriterier</t>
    </r>
  </si>
  <si>
    <t>SUM VEKTING &lt;&gt; 100% (FEILMELDING FJERNES NÅR LISTE = 100%) OPPDATER I EGET ARK!</t>
  </si>
  <si>
    <t>Informasjon om leverandør:</t>
  </si>
  <si>
    <t>Leverandørnavn:</t>
  </si>
  <si>
    <t>Kontaktperson for forsyningssikkerhet:</t>
  </si>
  <si>
    <t>E-postadresse ved leveringssvikt:</t>
  </si>
  <si>
    <t>Telefonnummer ved leveringssvikt:</t>
  </si>
  <si>
    <t>E-postadresse til logistikkavdeling:</t>
  </si>
  <si>
    <t>Oppdragsgivers kravspesifikasjon</t>
  </si>
  <si>
    <t>Tilbyderens besvarelse</t>
  </si>
  <si>
    <t>Anskaffelse</t>
  </si>
  <si>
    <t>Leverandørnavn</t>
  </si>
  <si>
    <t>Ref.</t>
  </si>
  <si>
    <t>Kravsett</t>
  </si>
  <si>
    <t>Overskrift for krav</t>
  </si>
  <si>
    <t>Beskrivelse av krav</t>
  </si>
  <si>
    <t>Krav-
type</t>
  </si>
  <si>
    <t>Tildelingskriterier</t>
  </si>
  <si>
    <t>Utfyllende informasjon til tilbyder</t>
  </si>
  <si>
    <t>Velg svaralternativ i listen</t>
  </si>
  <si>
    <t>Utfyllende besvarelse</t>
  </si>
  <si>
    <t>Evt. lenke eller henvisning til vedlegg</t>
  </si>
  <si>
    <t>2407gj</t>
  </si>
  <si>
    <t>4.01</t>
  </si>
  <si>
    <t>Leveringssikkerhet</t>
  </si>
  <si>
    <t>Leverandøren forplikter seg til å opprette og forvalte 90 dager sikkerhetslager i EU/EØS av tilbudte produkter. Sikkerhetslageret skal være avsatt til det norske markedet.</t>
  </si>
  <si>
    <t>S</t>
  </si>
  <si>
    <t>Kontraktskrav til forvaltning av sikkerhetslager fremgår av rammeavtalen punkt 4.6.2.</t>
  </si>
  <si>
    <t>4.02</t>
  </si>
  <si>
    <t>Leverandør skal ha 3 måneders lager som Sykehusinnkjøp skal kunne revidere senest en måned før avtalestart. Ved varer med høyere beredskap enn 1 måned ved avtalestart skal man kunne fremvise en produksjonsplan senest 3 måneder før avtaleoppstart for nødvendig lageroppbygging. Dette kravet gjelder kun ny anbudsvinner, da eksisterende avtaleleverandør allerede har varer hos grossist og apotek/HF.</t>
  </si>
  <si>
    <t>30 dagers sikkerhetslager er inkludert.</t>
  </si>
  <si>
    <t>4.03</t>
  </si>
  <si>
    <t>Likeverdighet</t>
  </si>
  <si>
    <t>4.04</t>
  </si>
  <si>
    <t>Miljø på leverandørnivå</t>
  </si>
  <si>
    <t>Leverandøren bør ha implementert et miljøledelsessystem  i virkestoffproduksjon for tilbudte produkter, som ivaretar risikovurderinger, miljørutiner, miljørevisjoner og sanksjoner ved brudd på avtale/miljørutine.  For full uttelling skal miljøledelsessystemet være sertifisert av 3.part.</t>
  </si>
  <si>
    <t>B</t>
  </si>
  <si>
    <t>ML1</t>
  </si>
  <si>
    <t xml:space="preserve">Angi svaralternativ. Spesifiser eventuelt hvilken 3. partssertifisering som er benyttet, hva som ikke er omfattet (risikovurdering, rutiner, miljørevisjoner og/eller sanksjoner), og om det foreligger en avtale om implementering av miljøledelsessystem med eventuell tredjepartsprodusent eller om leverandøren eier til produksjonen selv. Hvis man ikke eier produksjon eller har avtale om implementering av miljøledelsessystem med produsent, vil det ikke gi uttelling på kravet. Formålet med kravet er å oppnå minst mulig miljøbelastning ved produksjon av tilbudt produkt. </t>
  </si>
  <si>
    <t>Leverandøren bør ha implementert et miljøledelsessystem i ferdigvareproduksjon for tilbudte produkter som ivaretar risikovurderinger, miljørutiner, miljørevisjoner og sanksjoner ved brudd på avtaler og miljørutiner. For full uttelling skal miljøledelsessystemet være sertifisert av 3.part.</t>
  </si>
  <si>
    <r>
      <t>5.</t>
    </r>
    <r>
      <rPr>
        <b/>
        <sz val="7"/>
        <rFont val="Times New Roman"/>
        <family val="1"/>
      </rPr>
      <t xml:space="preserve">    </t>
    </r>
    <r>
      <rPr>
        <b/>
        <sz val="16"/>
        <rFont val="Calibri"/>
        <family val="2"/>
        <scheme val="minor"/>
      </rPr>
      <t>Krav til produktene</t>
    </r>
  </si>
  <si>
    <t>SUM VEKTING ER IKKE 100% (DENNE FEILMELDING FORSVINNER HVIS SUM I LISTE = 100%) OPPDATER I EGEN ARKFANE('Lister')!</t>
  </si>
  <si>
    <t>Informasjon om tilbudt produkt/produkter:</t>
  </si>
  <si>
    <t>Delkontrakt (som angitt i ark 3)</t>
  </si>
  <si>
    <t>Kravsett for delkontrakt</t>
  </si>
  <si>
    <t>Kategori ernæring/infusjons skyll</t>
  </si>
  <si>
    <t>Virkestoff</t>
  </si>
  <si>
    <t>Bruksparameter</t>
  </si>
  <si>
    <t>Emballasjetype</t>
  </si>
  <si>
    <r>
      <t>Produktnavn og varenummer(som angitt i prisskjema,</t>
    </r>
    <r>
      <rPr>
        <b/>
        <sz val="14"/>
        <color rgb="FFFF0000"/>
        <rFont val="Calibri"/>
        <family val="2"/>
        <scheme val="minor"/>
      </rPr>
      <t xml:space="preserve"> </t>
    </r>
    <r>
      <rPr>
        <b/>
        <sz val="14"/>
        <color theme="1"/>
        <rFont val="Calibri"/>
        <family val="2"/>
        <scheme val="minor"/>
      </rPr>
      <t>sett evt. inn flere linjer i rad 31</t>
    </r>
    <r>
      <rPr>
        <b/>
        <sz val="14"/>
        <rFont val="Calibri"/>
        <family val="2"/>
        <scheme val="minor"/>
      </rPr>
      <t>)</t>
    </r>
  </si>
  <si>
    <t>Varenr</t>
  </si>
  <si>
    <t>Varenavn</t>
  </si>
  <si>
    <t>Kravetikett</t>
  </si>
  <si>
    <t>Velg svaralternativ i listen hvis mulig</t>
  </si>
  <si>
    <t>5.01</t>
  </si>
  <si>
    <t>Prissetting</t>
  </si>
  <si>
    <t xml:space="preserve">Tilbudt pris skal innebære minimum 7,00 % rabatt målt mot maksimal AIP ved tilbudsfristens utløp. For produkter uten maksimal AIP ved tilbudsfrist må pris innebære minimum 7% rabatt etter at pris er godkjent av SLV. </t>
  </si>
  <si>
    <t>Kontrolleres mot tilbudt GIP i Prisskjema og Maks AIP for tilbudt produkt eller tilsvarende produkt med fastsatt Maks AIP. Rabatten må være minimum 7,00 % uten avrunding, dvs 6,9 % er ikke godkjent. For informasjon om prissøknad se vedlegg Administrative bestemmelser. 
Gjelder kun for produkter med MT i Norge og fastsatt maks AIP.</t>
  </si>
  <si>
    <t>Besvares i prisskjema</t>
  </si>
  <si>
    <t>5.02</t>
  </si>
  <si>
    <t xml:space="preserve">Tilbudt pris skal angis i prisskjema per varenummer (salgsenhet). </t>
  </si>
  <si>
    <t xml:space="preserve">Dersom tilbudt produkt ikke er forhåndsutfylt i prisskjema, eller at varenummeret tilhører en annen leverandør enn tilbyder, skal tilbyder fylle ut en ny linje i prisskjema og angi riktig informasjon om tilbyder/varen i de oppførte kolonnene. Varenummer skal da være blank, ettersom det ikke er tildelt norsk varenummer enda. Se vedlegg 04 Bilag 04 administrative bestemmelser for beskrivelse av hvordan man registrerer varenummer i vareregisteret før avtalestart. </t>
  </si>
  <si>
    <t>5.03</t>
  </si>
  <si>
    <t xml:space="preserve">For produkter som har fått fastsatt en øvre innkjøpspris til bruk i spesialisthelsetjenesten gjennom positiv beslutning i Beslutningsforum for nye metoder, vil denne prisen utgjøre effektivt priskrav for spesialisthelsetjenesten. </t>
  </si>
  <si>
    <t>5.04</t>
  </si>
  <si>
    <t>Markedsføringstillatelse (MT)</t>
  </si>
  <si>
    <t>Godkjent SPC på legemiddelsok.no. eller kopi av ev. søknad, samt evt preliminær SPC vedlegges tilbudet. For parallellimportert produkt vedlegges SPC for produkt som det planlegges å søke MT for, samt bilde og plan for merking av inneremballasjen. Oppdragsgiver forbeholder seg retten til å inngå en parallell avtale dersom vinner ikke har fått MT i Norge ved tidspunktet for tildeling. Dersom vinner ikke har fått MT innen fristen, vil avtalen med vinner sies opp og parallell avtaleleverandør forespurt om å overta leveransen.</t>
  </si>
  <si>
    <t>5.05</t>
  </si>
  <si>
    <t>Opplæring og informasjon</t>
  </si>
  <si>
    <t xml:space="preserve">Tilbyder skal, på forespørsel kunne levere informasjonsmateriale som viser korrekt bruk av tilbudt produkt, herunder tilstrekkelig informasjon om utblandning, volum, brukstid etter utblanding og administrering. </t>
  </si>
  <si>
    <t>5.06</t>
  </si>
  <si>
    <t>Merking</t>
  </si>
  <si>
    <t>Tilbudt produkt skal ha ytteremballasje som er merket med GTIN i henhold til  GS1-standard.</t>
  </si>
  <si>
    <t>Besvares i Prisskjema. Leverandør fyller inn selv når det ikke er forhåndsutfylt (ett skjema totalt) 
Lenker til retningslinjer GTIN og GS1: https://www.gs1.org/docs/barcodes/GS1_DataMatrix_Guideline.pdf og https://www.gs1.org/docs/gsmp/healthcare/GS1_Healthcare_GTIN_Allocation_Rules.pdf</t>
  </si>
  <si>
    <t>Prisskjema</t>
  </si>
  <si>
    <t>5.07</t>
  </si>
  <si>
    <t>5.08</t>
  </si>
  <si>
    <t>Sortiment</t>
  </si>
  <si>
    <t xml:space="preserve">Tilbyders sortiment skal angis i prisskjema. </t>
  </si>
  <si>
    <t xml:space="preserve">Det er anleding til å inngi pristilbud på varelinjer som er satt som ikke relevant for anskaffelsen i prisskjema. Pakninger som er angitt som ikke relevante, vil ikke bli evaluert. Det er likevel ønskelig at leverandør inngir tilbud på hele sitt sortiment innenfor en delleveranse. Dette av hensyn til håndtering av eventuell leveringssvikt, samt kundens behov for sortimentsbredde, og pasientspesifikke medisinske behov. Vinnende tilbyder kan bli tildelt kontrakt på hele det tilbudte sortimentet. </t>
  </si>
  <si>
    <t>5.09</t>
  </si>
  <si>
    <t>Leveringssikkerhet på produktnivå</t>
  </si>
  <si>
    <t>Produktet bør selges i Danmark, Sverige, Finland, Tyskland, Spania og Frankrike.</t>
  </si>
  <si>
    <t>LP2</t>
  </si>
  <si>
    <t>Angi hvor mange av de seks angitte landene produktet selges i.</t>
  </si>
  <si>
    <t>5.10</t>
  </si>
  <si>
    <t>Leverandør bør oppgi land og navn på selskapet/selskapene som produserer ferdigvare av tilbudt produkt.</t>
  </si>
  <si>
    <t>Angi svaralternativ og spesifiser eventuelt land, navn, adresse (kordinater) eller Global location number (GLN-kode) på selskap. Formålet med kravet er å vurdere risiko for leveringssvikt, samt planlegge og iverksette eventuelle tiltak for å sikre stabil levering over tid.</t>
  </si>
  <si>
    <t>5.11</t>
  </si>
  <si>
    <t xml:space="preserve">Leverandøren bør oppgi land og navn på selskapet/selskapene som produserer virkestoff(ene) i tilbudt produkt. </t>
  </si>
  <si>
    <t>5.12</t>
  </si>
  <si>
    <t>Tilbudt produkt bør ha fellesnordisk pakning</t>
  </si>
  <si>
    <t xml:space="preserve">Angi ja eller nei for om det er fellesnordisk pakning eller ikke. </t>
  </si>
  <si>
    <t>5.13</t>
  </si>
  <si>
    <t>Leverandøren bør ha inntil 6 mnd sikkerhetslager beregnet på det norske markedet av tilbudte produkter.</t>
  </si>
  <si>
    <t>LP1</t>
  </si>
  <si>
    <t xml:space="preserve">Angi antall dager sikkerhetslager som kommer i tillegg til skal-krav 4.01 Leveringssikkerhet. Angi om det ikke gjelder alle produkter. </t>
  </si>
  <si>
    <t>Miljø på produktnivå</t>
  </si>
  <si>
    <t>MP</t>
  </si>
  <si>
    <t>5.15</t>
  </si>
  <si>
    <t>Tilbudt produkt bør produseres av virkestoffprodusent og ferdigvareprodusent som har rutiner for å minimere mengde og konsentrasjon av virkestoff i avløpsvann.</t>
  </si>
  <si>
    <t xml:space="preserve">Angi svaralternativ. Rutiner for avløpsvann må være spesifisert i avtale med eventuell tredjepartsprodusent for å kunne gi uttelling. Rutine skal dokumenteres på forespørsel. Formålet med kravet er å oppnå minst mulig miljøbelastning ved produksjon av tilbudt produkt. </t>
  </si>
  <si>
    <t>5.16</t>
  </si>
  <si>
    <t>Tilbudt produkt bør produseres av virkestoffprodusent og ferdigvareprodusent som har rutiner for å håndtere, behandle og deponere avfall slik at utslipp av virkestoff til miljø elimineres eller minimeres.</t>
  </si>
  <si>
    <t xml:space="preserve">Angi svaralternativ. Rutiner for håndtering, behandling og deponering av avfall må være spesifisert i avtale med eventuell tredjepartsprodusent for å kunne gi uttelling. Rutine skal dokumenteres på forespørsel. Formålet med kravet er å oppnå minst mulig miljøbelastning ved produksjon av tilbudt produkt. </t>
  </si>
  <si>
    <t>PP</t>
  </si>
  <si>
    <t>Emballasje</t>
  </si>
  <si>
    <t>Tilbudt produkt bør ha inneremballasje som best mulig ivaretar pasientsikkerheten. Endoser med identifiserbar strekkode for minste enhet gir best pasientsikkerhet, endoser uten strekkode nest best, vanlig blisterbrett gir mindre pasientsikkerhet.</t>
  </si>
  <si>
    <t xml:space="preserve">Angi svaralternativ og spesifiser evt. utforming av blisterbrettet. Endose er inneremballasje der minste enhet er merket med navn, virkestoff, styrke, holdbarhet og batchnummer, og blisterbrettet har perforering mellom tablettene. </t>
  </si>
  <si>
    <t>Beskrivelse for ferdigstillelse av kravspesifikasjon</t>
  </si>
  <si>
    <t>SJEKKLISTE:</t>
  </si>
  <si>
    <t>TIPS OG TRIKS:</t>
  </si>
  <si>
    <t xml:space="preserve">Tabell med dokumentinfo fylles inn av prosjekt/fagrådgiver. Cellene skal være definert i excels navnebehandling. </t>
  </si>
  <si>
    <t>Nummerering av krav. Gjør ferdig krav først, kategoriser innen kravetikett. Lag nummer som tekst. Bruk apostrof ' først for eksempel: '5.01 '5.02 . Da kan liste trekkes og nummereres auto.</t>
  </si>
  <si>
    <t>(Passord til evt låste ark: 'excel')</t>
  </si>
  <si>
    <t>A - Fyll inn Anskaffelseskode, Anskaffelsesnavn, Dokumentnummer, Dokumentnav (kun i denne arkfanen 'Lister')</t>
  </si>
  <si>
    <t>Anskaffelseskode</t>
  </si>
  <si>
    <t>Eks: 2201h</t>
  </si>
  <si>
    <t>Tabeller er excel-tabeller. Legg til/fjern rader på "rett" måte.</t>
  </si>
  <si>
    <t>Anskaffelsesnavn</t>
  </si>
  <si>
    <t>Eks: Klorheksidin</t>
  </si>
  <si>
    <t>B - Filnavn - Anskaffelsesnavn, Nummer, Leverandør annet?</t>
  </si>
  <si>
    <t>Dokumentnummer</t>
  </si>
  <si>
    <t>Bilag 3</t>
  </si>
  <si>
    <t>Eks: Bilag 3</t>
  </si>
  <si>
    <t>HUSK - man kan alltids overskrive og avvike fra malen dersom det er nødvendig, eller man finner tekniske feil.</t>
  </si>
  <si>
    <t>(B2 - Arkfane 2 bør leses igjennom og godkjennes)</t>
  </si>
  <si>
    <t>Dokumentnavn (navn på kravspek)</t>
  </si>
  <si>
    <t>Eks: klorheksidin biocid</t>
  </si>
  <si>
    <t>C - Vektingsprosenter/tildelingskriterier settes i denne arkfanen('Lister') kolonne J, 'Vektingsprosent'. Arkfane 5 oppdateres da med farge automatisk og valideres for 100%.</t>
  </si>
  <si>
    <r>
      <t xml:space="preserve">Informasjonen over vil tilsvare det som </t>
    </r>
    <r>
      <rPr>
        <b/>
        <sz val="14"/>
        <color theme="1"/>
        <rFont val="Calibri"/>
        <family val="2"/>
        <scheme val="minor"/>
      </rPr>
      <t>også bør ligge i filnavn</t>
    </r>
    <r>
      <rPr>
        <sz val="11"/>
        <color theme="1"/>
        <rFont val="Calibri"/>
        <family val="2"/>
        <scheme val="minor"/>
      </rPr>
      <t>.</t>
    </r>
  </si>
  <si>
    <t>Eksempel filnavn: '[anskaffelse] [doknummer] [doknavn] [leverandørnavn].xlsx​'</t>
  </si>
  <si>
    <t>OM ARKFANE 3 ANSKAFFELSEN - EKSEMPEL</t>
  </si>
  <si>
    <r>
      <t>OBS - Denne informasjonen</t>
    </r>
    <r>
      <rPr>
        <i/>
        <sz val="11"/>
        <color theme="1"/>
        <rFont val="Calibri"/>
        <family val="2"/>
        <scheme val="minor"/>
      </rPr>
      <t xml:space="preserve"> kan</t>
    </r>
    <r>
      <rPr>
        <sz val="11"/>
        <color theme="1"/>
        <rFont val="Calibri"/>
        <family val="2"/>
        <scheme val="minor"/>
      </rPr>
      <t xml:space="preserve"> brukes for maskinell håndtering av filer(innlast/sammenslåing etc), men påvirker ikke dataene på andre måter.</t>
    </r>
  </si>
  <si>
    <t>Definerer delkontrakten 1 (skjules i de fleste anskaffelser)</t>
  </si>
  <si>
    <t>Definerer delkontrakten 2</t>
  </si>
  <si>
    <t>Definerer delkontrakten 3</t>
  </si>
  <si>
    <t>Definerer delkontrakten 4</t>
  </si>
  <si>
    <t>Definerer delkontrakten 5</t>
  </si>
  <si>
    <t>Definerer delkontrakten 6</t>
  </si>
  <si>
    <t>Vis til krav som gjelder for den aktuelle delleveranse</t>
  </si>
  <si>
    <t>D - Kravtabell Produkt/delkontrakt</t>
  </si>
  <si>
    <t>Navn på kravspesifikasjon kan være det samme som anskaffelsesnavn hvis det kun er én kravspek i anskaffelsen</t>
  </si>
  <si>
    <t>Kravsett i arkfane 5</t>
  </si>
  <si>
    <t>E - Delkontrakter Arkfane 3 'Anskaffelsen' må være utfylt riktig. (Kravsett listemenyer populeres automatisk)</t>
  </si>
  <si>
    <t>ABCDEF</t>
  </si>
  <si>
    <t>EKS1 Paracetamol</t>
  </si>
  <si>
    <t>Eks 1 infusjon</t>
  </si>
  <si>
    <t xml:space="preserve">Eks1 til barn </t>
  </si>
  <si>
    <t xml:space="preserve">EKS1: Tilbyder rangert som nr 1 blir førstevalg for alle pasienter, det er allikevel behov for avtale med flere tilbydere for å dekke ulike medisinske behov. </t>
  </si>
  <si>
    <t>må avklares og innhentes info for aktuell anskaffelse</t>
  </si>
  <si>
    <t>Velg fra automatisk generert liste</t>
  </si>
  <si>
    <t>F - Kravtabell Leverandør - Krav utarbeides og fylles inn riktig…</t>
  </si>
  <si>
    <t>OM TABELLEN MED LISTER (denne arkfanen)</t>
  </si>
  <si>
    <t>EKS2 Paracetamol</t>
  </si>
  <si>
    <t>Eks 2 tablett/kapsel</t>
  </si>
  <si>
    <t xml:space="preserve">EKS2: Tilbyder rangert som nr 1 får tildelt 70% av markedet (2-3 RHF avhengig av forbruksmønster), og nr 2 får 30%  av hensyn til beredskap. </t>
  </si>
  <si>
    <r>
      <t>Det kan</t>
    </r>
    <r>
      <rPr>
        <sz val="11"/>
        <color theme="8" tint="-0.249977111117893"/>
        <rFont val="Calibri"/>
        <family val="2"/>
        <scheme val="minor"/>
      </rPr>
      <t xml:space="preserve"> legges til flere kolonner</t>
    </r>
    <r>
      <rPr>
        <sz val="11"/>
        <color theme="1"/>
        <rFont val="Calibri"/>
        <family val="2"/>
        <scheme val="minor"/>
      </rPr>
      <t xml:space="preserve"> i tabellen når det er behov for andre svaralternativer for utarbeidete krav. </t>
    </r>
  </si>
  <si>
    <t>G - GJØR QA. Sjekk for banale feil i formatering ol. Test utfylling.</t>
  </si>
  <si>
    <r>
      <t xml:space="preserve">Man kan </t>
    </r>
    <r>
      <rPr>
        <sz val="11"/>
        <color theme="8" tint="-0.249977111117893"/>
        <rFont val="Calibri"/>
        <family val="2"/>
        <scheme val="minor"/>
      </rPr>
      <t>slette eller legge til alternativer i listene som allerede foreligger</t>
    </r>
    <r>
      <rPr>
        <sz val="11"/>
        <color theme="1"/>
        <rFont val="Calibri"/>
        <family val="2"/>
        <scheme val="minor"/>
      </rPr>
      <t xml:space="preserve"> ved behov for justering. </t>
    </r>
  </si>
  <si>
    <t>Kobling til den riktige listen i tabellen gjøres ved bruk av funksjonen 'datavalidering', eller ved å kopiere en celle som har riktige svaralternativer fra før.</t>
  </si>
  <si>
    <t>H - SKJUL ARKFANE 'LISTER' (bør gjøres før utlysning)</t>
  </si>
  <si>
    <t>Bruk hjelpefunksjonen i excel eller spør en venn hvis man lurer på 'datavalidering'.</t>
  </si>
  <si>
    <t>I - Teknisk sjekk - Er informasjon i riktig tabellstruktur, tabellstørrelser, navnedefinisjoner osv</t>
  </si>
  <si>
    <t>OM TILDELINGSKRITERIER</t>
  </si>
  <si>
    <r>
      <t xml:space="preserve">Tildelingskriterier: </t>
    </r>
    <r>
      <rPr>
        <sz val="11"/>
        <color theme="8" tint="-0.249977111117893"/>
        <rFont val="Calibri"/>
        <family val="2"/>
        <scheme val="minor"/>
      </rPr>
      <t>Fyll ut riktig vektingsprosent i tabellen, og skjul evt. rader i arkfane 4 og 5 der det velges 0%</t>
    </r>
    <r>
      <rPr>
        <sz val="11"/>
        <color theme="1"/>
        <rFont val="Calibri"/>
        <family val="2"/>
        <scheme val="minor"/>
      </rPr>
      <t xml:space="preserve"> . </t>
    </r>
  </si>
  <si>
    <t>J - Synliggjør formatering av kravtabeller(hvis ønsket) (manuelt endre tekst fra NEI til JA i cellen under før ferdigstillelse):</t>
  </si>
  <si>
    <t xml:space="preserve">Dersom det legges inn flere tildelingskriterier, må arkfane 4 og 5 oppdateres for en riktig framstilling. </t>
  </si>
  <si>
    <r>
      <t xml:space="preserve">Vektingsprosent: </t>
    </r>
    <r>
      <rPr>
        <sz val="11"/>
        <color theme="8" tint="-0.249977111117893"/>
        <rFont val="Calibri"/>
        <family val="2"/>
        <scheme val="minor"/>
      </rPr>
      <t xml:space="preserve">Kontroller at det er 100% tilsammen </t>
    </r>
    <r>
      <rPr>
        <sz val="11"/>
        <color theme="1"/>
        <rFont val="Calibri"/>
        <family val="2"/>
        <scheme val="minor"/>
      </rPr>
      <t>(ligger også autovalidering i 4&amp;5)</t>
    </r>
  </si>
  <si>
    <t>Skriv JA eller NEI for å skru betinget formatering av eller på i arkfane '5.Krav til prod')</t>
  </si>
  <si>
    <t xml:space="preserve">Farger som er benyttet kan finnes fram til f.eks ved å velge 'flere farger'  i malingsbøtta mens man står i en riktig farget celle. Trykk OK for å velge samme farge. </t>
  </si>
  <si>
    <t>Er lagt inn automatisk fargeformatering på tildelingskriterier. (Dette ligger under 'Betinget formatering'-knapp)</t>
  </si>
  <si>
    <t>OM MALEN</t>
  </si>
  <si>
    <t>Legg inn delkontrakter som omfattes av kravspesifikasjonen i arkfane 3 i grå tabell</t>
  </si>
  <si>
    <t>Legg inn/fjern/rediger krav til leverandør i arkfane 4</t>
  </si>
  <si>
    <t>Legg inn/fjern/rediger krav til produkt i arkfane 5</t>
  </si>
  <si>
    <t xml:space="preserve">Legg inn riktig kravnummer i ref. </t>
  </si>
  <si>
    <r>
      <t xml:space="preserve">Krav i arkfane 5 som </t>
    </r>
    <r>
      <rPr>
        <b/>
        <sz val="11"/>
        <rFont val="Calibri"/>
        <family val="2"/>
        <scheme val="minor"/>
      </rPr>
      <t>gjelder for alle produkter</t>
    </r>
    <r>
      <rPr>
        <sz val="11"/>
        <rFont val="Calibri"/>
        <family val="2"/>
        <scheme val="minor"/>
      </rPr>
      <t xml:space="preserve"> i kravspesifikasjonen nummereres 5.1.1 osv. </t>
    </r>
  </si>
  <si>
    <r>
      <t xml:space="preserve">Sett med krav som kun gjelder for </t>
    </r>
    <r>
      <rPr>
        <b/>
        <sz val="11"/>
        <rFont val="Calibri"/>
        <family val="2"/>
        <scheme val="minor"/>
      </rPr>
      <t>enkelte grupper eller delleveranser</t>
    </r>
    <r>
      <rPr>
        <sz val="11"/>
        <rFont val="Calibri"/>
        <family val="2"/>
        <scheme val="minor"/>
      </rPr>
      <t xml:space="preserve"> nummereres 5.2.1 osv og 5.3.1 osv osv.</t>
    </r>
  </si>
  <si>
    <t>Angi riktige sett med kravnummer for riktige delkontrakter i arkfane 3 Anskaffelsen.</t>
  </si>
  <si>
    <t>Hvite celler skal stå tomme for at leverandør kan fylle ut.</t>
  </si>
  <si>
    <t>Veiledning til malen som står i hvite celler er satt med svart skriftfarge i stedet for blå, for at man skal slippe å endre tilbake til svart skrift.</t>
  </si>
  <si>
    <t>Sjul arkfane 'lister' før utlysning.</t>
  </si>
  <si>
    <t xml:space="preserve">LISTER - Disse kan brukes for nedtrekksmenyer/drop downs i krav. </t>
  </si>
  <si>
    <t>Børkrav ja/nei</t>
  </si>
  <si>
    <t>B180 krav</t>
  </si>
  <si>
    <t>Bør-Krav til lager (LP1)</t>
  </si>
  <si>
    <t>Antall EU-land land med salg</t>
  </si>
  <si>
    <t>Skalkrav lager ved oppstart</t>
  </si>
  <si>
    <t>Skalkrav JA</t>
  </si>
  <si>
    <t>Kravtype</t>
  </si>
  <si>
    <t>MT-land i EU/EØS</t>
  </si>
  <si>
    <t xml:space="preserve">Vektingsprosent </t>
  </si>
  <si>
    <t>Vektingsprosent alternativ 2</t>
  </si>
  <si>
    <t>Vektingsprosent alternativ 3</t>
  </si>
  <si>
    <t>Inneremballasjetype</t>
  </si>
  <si>
    <t>Skal-Krav MT</t>
  </si>
  <si>
    <t>Miljøledelse</t>
  </si>
  <si>
    <t>Pnec</t>
  </si>
  <si>
    <t>Rutine avløpsvann</t>
  </si>
  <si>
    <t>Rutine avfall</t>
  </si>
  <si>
    <t>Plass i avfall</t>
  </si>
  <si>
    <t>Oppgitt land</t>
  </si>
  <si>
    <t>Oppbevaringsbetingelser</t>
  </si>
  <si>
    <t>Beskyttelse mot knusing</t>
  </si>
  <si>
    <t>Rekonstitusjonstrinn</t>
  </si>
  <si>
    <t>Utblanding</t>
  </si>
  <si>
    <t>Egnet for pakking</t>
  </si>
  <si>
    <t>Likeverdighet Leverandør</t>
  </si>
  <si>
    <t>Likeverdighet produkt</t>
  </si>
  <si>
    <t>Egnethet pakking/robot</t>
  </si>
  <si>
    <t>Belgia</t>
  </si>
  <si>
    <t>Pris (P)</t>
  </si>
  <si>
    <t>Elektronisk identifiserbar endose</t>
  </si>
  <si>
    <t>Har MT</t>
  </si>
  <si>
    <t>Både virkestoff-og ferdigvareprodusent har rutine for å oppnå PNEC (Spesifiser PNEC og kilde til PNEC som benyttes).</t>
  </si>
  <si>
    <t>Både virkestoff-og ferdigvareprodusent har rutine for avløpsvann.</t>
  </si>
  <si>
    <t>Både virkestoff-og ferdigvareprodusent har rutine for avfall.</t>
  </si>
  <si>
    <t>Kan komprimeres helt flat av bruker, og inneholder ingen luft eller luftlommer når den er komprimert. (Eksempelvis emballasje av kartong)</t>
  </si>
  <si>
    <t>Navn, adresse og land er oppgitt (spesifiseres ett eller flere navn, adresser og land)</t>
  </si>
  <si>
    <t>Kan oppbevares i romtemp uten lysbeskyttelse hele holdbarhetstiden</t>
  </si>
  <si>
    <t>Krymeplast og forsterket base</t>
  </si>
  <si>
    <t>Kan løses opp i fortynningsvæsken og har oppløsningstid på 1 minutt eller mindre.</t>
  </si>
  <si>
    <t>Bruksklar</t>
  </si>
  <si>
    <t>Data for utblanding i infusjonspose medfølger tilbudet (angi henvisning).</t>
  </si>
  <si>
    <t xml:space="preserve">Vareprøve eller stabilitetsdata sendes på forespørsel. </t>
  </si>
  <si>
    <t xml:space="preserve">Tilbudet inneholder kun likeverdige produkter med det som er oppført i Bilag 02 Prisskjema. </t>
  </si>
  <si>
    <t>Tilbudt produkt er i eksisterende avtale og kjent for oppdragsgiver.</t>
  </si>
  <si>
    <t>Nei</t>
  </si>
  <si>
    <t>Tilbudte produkter er allerede i avtale og lager er bygd opp.</t>
  </si>
  <si>
    <t>Bulgaria</t>
  </si>
  <si>
    <t>Brukervennlighet, pakninger og produktspekter (PP)</t>
  </si>
  <si>
    <t>Endose</t>
  </si>
  <si>
    <t>Har søkt MT (spesifiser)</t>
  </si>
  <si>
    <t xml:space="preserve">Kun virkestoffprodusent har rutine for å oppnå PNEC (Spesifiser PNEC og kilde til PNEC som benyttes). </t>
  </si>
  <si>
    <t>Kun virkestoffprodusent har rutine for avløpsvann.</t>
  </si>
  <si>
    <t>Kun virkestoffprodusent har rutine for avlfall.</t>
  </si>
  <si>
    <t>Kan komprimeres av bruker, men emballasjen inneholder noe luft eller det oppstår luftlommer rundt emballasjen når den er komprimert. (Eksempelvis emballasje av hard plast).</t>
  </si>
  <si>
    <t>Kun land er oppgitt (spesifiseres ett eller flere land)</t>
  </si>
  <si>
    <t>Må oppbevares kjølig i hele holdbarhetstiden</t>
  </si>
  <si>
    <t>Krympeplast</t>
  </si>
  <si>
    <t>Kan løses opp i fortynningsvæsken og har oppløsningstid på over 1 minutt.</t>
  </si>
  <si>
    <t>Konsentrat  som tilsettes direkte i fortynningsvæsken</t>
  </si>
  <si>
    <t>Delvis (spesifiser eller henvisning til prisskjema)</t>
  </si>
  <si>
    <t xml:space="preserve">Tilbudet inneholder ett eller flere produkter som ikke er likeverdig med produkter oppført i Bilag 02 Prisskjema. (Spesifiser begrunnelse og henvisning til vedlagt dokumentasjon). </t>
  </si>
  <si>
    <t>Begrunnelse inngitt i arkfane 4. Krav til lev.</t>
  </si>
  <si>
    <t xml:space="preserve">Vareprøve/tekniske spesifikasjoner/bilde sendes på forespørsel. </t>
  </si>
  <si>
    <t>Danmark</t>
  </si>
  <si>
    <t>Leveringssikkerhet: Lager (LP1)</t>
  </si>
  <si>
    <t>Blister der hver tablett er merket (spesisfiser)</t>
  </si>
  <si>
    <t>Kun ferdigvareprodusent  har rutine for å oppnå PNEC. (Spesifiser PNEC og kilde til PNEC som benyttes).</t>
  </si>
  <si>
    <t>Kun ferdigvareprodusent  har rutine for avløpsvann.</t>
  </si>
  <si>
    <t>Kun ferdigvareprodusent  har rutine for avfall.</t>
  </si>
  <si>
    <t xml:space="preserve">Kan ikke komprimeres. (Eksempelvis emballasje av hard plast eller glass). </t>
  </si>
  <si>
    <t>Navn og land er ikke oppgitt.</t>
  </si>
  <si>
    <t>Må oppbevares kjølig etter utblanding</t>
  </si>
  <si>
    <t>Annet (spesifiseres)</t>
  </si>
  <si>
    <t>Kan ikke løses opp i fortynningsvæsken og har oppløsningstid på 1 minutt eller mindre.</t>
  </si>
  <si>
    <t>Konsentrat med mer enn ett rekonstitusjonstrinn</t>
  </si>
  <si>
    <t>Estland</t>
  </si>
  <si>
    <t>Leveringssikkerhet: Land (LP2)</t>
  </si>
  <si>
    <t>Blister uten merking på hver tablett</t>
  </si>
  <si>
    <t>Har ikke avtale med  tredjepartsprodusenter om miljøledelsessystem.</t>
  </si>
  <si>
    <t>Har ikke rutine for å oppnå PNEC, men analyse av PNEC vil bli levert til tredjepart i avtaleperioden. (Angi forventet dato for levering av analyse, og hvilken tredjepart som benyttes)</t>
  </si>
  <si>
    <t>Vet ikke hvilke rutiner som følges for avløpsvann.</t>
  </si>
  <si>
    <t>Vet ikke hvilke rutiner som følges for avfall.</t>
  </si>
  <si>
    <t>Vet ikke om den kan komprimeres.</t>
  </si>
  <si>
    <t>Kan oppbevares i romtemp, men med lysbeskyttelse hele holdbarhetstiden.</t>
  </si>
  <si>
    <t>Ingen beskyttelse eller beskyttelserbeholder.</t>
  </si>
  <si>
    <t>Kan ikke løses opp i fortynningsvæsken og har oppløsningstid på over 1 minutt.</t>
  </si>
  <si>
    <t>Finland</t>
  </si>
  <si>
    <t xml:space="preserve">Miljø på leverandørnivå (ML1) </t>
  </si>
  <si>
    <t>Har ikke implementert miljøledelsessystem.</t>
  </si>
  <si>
    <t>Vet ikke hvilke rutiner som følges for å oppnå PNEC/Vet ikke hvilken PNEC/Kilde til PNEC som benyttes.</t>
  </si>
  <si>
    <t>Har ikke rutine for avløpsvann.</t>
  </si>
  <si>
    <t>Har ikke rutine for avfall.</t>
  </si>
  <si>
    <t>Kan oppbevares i romtemp, men med lysbeskyttelse før utblanding, og kjølig etter utblanding.</t>
  </si>
  <si>
    <t>Vet ikke.</t>
  </si>
  <si>
    <t>Kan ikke starte levering tidligere.</t>
  </si>
  <si>
    <t>Frankrike</t>
  </si>
  <si>
    <t>Miljø på produktnivå (MP1)</t>
  </si>
  <si>
    <t>Har ikke rutine for å oppnå PNEC.</t>
  </si>
  <si>
    <t>Hellas</t>
  </si>
  <si>
    <t>Pakninger og produktspekter (PP)</t>
  </si>
  <si>
    <t>Irland</t>
  </si>
  <si>
    <t>Island</t>
  </si>
  <si>
    <t>Italia</t>
  </si>
  <si>
    <t>Kroatia</t>
  </si>
  <si>
    <t>Kypros</t>
  </si>
  <si>
    <t>Latvia</t>
  </si>
  <si>
    <t>Liechtenstein</t>
  </si>
  <si>
    <t>Litauen</t>
  </si>
  <si>
    <t>Luxembourg</t>
  </si>
  <si>
    <t>Malta</t>
  </si>
  <si>
    <t>Nederland</t>
  </si>
  <si>
    <t>Polen</t>
  </si>
  <si>
    <t>Portugal</t>
  </si>
  <si>
    <t>Romania</t>
  </si>
  <si>
    <t>Slovakia</t>
  </si>
  <si>
    <t>Slovenia</t>
  </si>
  <si>
    <t>Spania</t>
  </si>
  <si>
    <t>Sverige</t>
  </si>
  <si>
    <t>Tsjekkia</t>
  </si>
  <si>
    <t>Tyskland</t>
  </si>
  <si>
    <t>Ungarn</t>
  </si>
  <si>
    <t>Østerrike</t>
  </si>
  <si>
    <t>UNIKE KRAVSETT</t>
  </si>
  <si>
    <t>Dynamisk liste, basert på kolonne kravsett i ark 5</t>
  </si>
  <si>
    <t>Det vil si at denne listen bygges opp automatisk på bakgrunn av det som er skrevet inn manuelt i '5.Krav til prod' for kravsettene.</t>
  </si>
  <si>
    <t>2507gj-1</t>
  </si>
  <si>
    <t>Anagrelid</t>
  </si>
  <si>
    <t>L01XX35</t>
  </si>
  <si>
    <t xml:space="preserve">Tilbyder skal inngi dokumentasjon for at tilbudt produkt er likeverdig med produkter som er angitt i  Bilag 2 prisskjema. </t>
  </si>
  <si>
    <t xml:space="preserve">Likeverdighet vil bli vurdert i hvert enkelt tilfelle ut fra generisk byttekode, pakningsstørrelse, styrke, sortiment (ut fra hvilke styrker og pakninger det er forbruk av i spesialisthelsetjenesten), formulering, inneremballasje, stabilitetsdata og administrasjonsform. Oppdragsgiver vil avvise tilbud der hvor likeverdighet ikke vurderes å foreligge etter en helhetsvurdering.  Dersom leverandøren har ingitt tilbud på et produkt som hører inn under anskaffelsens område, men som ikke er likeverdig med produkter angitt i Bilag 2 Prisskjema, skal en begrunnelse for tilbudet fylles ut i arkfane 4. Krav til lev. </t>
  </si>
  <si>
    <t>Miljø</t>
  </si>
  <si>
    <t>Vekting</t>
  </si>
  <si>
    <t xml:space="preserve">Tilbudt produkt skal ha gyldig MT i Norge innen tilbudsfristens utløp. For parallellimportert produkt skal tilbudt produkt ha MT i EU/EØS innen tilbudsfristens utløp, og ha gyldig MT i Norge innen 4 måneder etter tildelingsdato. Dersom tilbyder inngir tilbud på et produkt uten MT i Norge ved tilbudsfristens utløp, skal tilbyder dokumentere at søknad om MT for tilbudt produkt er inngitt til aktuell regulatorisk myndighet forut for tilbudsfristens utløp, eller at tilbudt produkt har godkjent  MT i EU/EØS innen tilbudsfristens utløp. For legemiddelformer som er nye i markedet og som planlegges tatt i bruk i begrenset grad (bruksklare infusjonsløsninger), skal tilbudt produkt ha gyldig MT i Norge innen avtalestart. </t>
  </si>
  <si>
    <t>5.14</t>
  </si>
  <si>
    <r>
      <t>4.</t>
    </r>
    <r>
      <rPr>
        <b/>
        <sz val="7"/>
        <rFont val="Times New Roman"/>
        <family val="1"/>
      </rPr>
      <t xml:space="preserve">    </t>
    </r>
    <r>
      <rPr>
        <b/>
        <sz val="16"/>
        <rFont val="Calibri"/>
        <family val="2"/>
        <scheme val="minor"/>
      </rPr>
      <t>Krav på overordnet nivå</t>
    </r>
  </si>
  <si>
    <t>Implementert miljøledelsessystem for risiko, rutiner, revisjoner og sanksjoner som er sertifisert av 3. part for alle tilbudte produkter. (Spesifiser hvilken sertifisering. Eks. ISO 14001)</t>
  </si>
  <si>
    <t xml:space="preserve">Implementert miljøledelsessystem for risiko, rutiner, revisjoner og sanksjoner som ikke er sertifisert av 3. part for alle tilbudte produkter. </t>
  </si>
  <si>
    <t>Delvis implementert miljøledelsessystem (Spesifiser hvilke deler/produkter som ikke er implementert og/eller sertifisert, og spesifiser eventuelt hvilken sertifisering).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</si>
</sst>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3" x14ac:knownFonts="1">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7"/>
      <color theme="1"/>
      <name val="Times New Roman"/>
      <family val="1"/>
    </font>
    <font>
      <i/>
      <sz val="11"/>
      <color rgb="FF000000"/>
      <name val="Arial"/>
      <family val="2"/>
    </font>
    <font>
      <sz val="11"/>
      <color rgb="FF000000"/>
      <name val="Arial"/>
      <family val="2"/>
    </font>
    <font>
      <sz val="8"/>
      <color rgb="FF000000"/>
      <name val="Calibri"/>
      <family val="2"/>
      <scheme val="minor"/>
    </font>
    <font>
      <sz val="11"/>
      <color rgb="FF366092"/>
      <name val="Calibri"/>
      <family val="2"/>
      <scheme val="minor"/>
    </font>
    <font>
      <sz val="11"/>
      <color rgb="FF000000"/>
      <name val="Calibri"/>
      <family val="2"/>
      <scheme val="minor"/>
    </font>
    <font>
      <b/>
      <sz val="11"/>
      <color rgb="FFFF0000"/>
      <name val="Calibri"/>
      <family val="2"/>
      <scheme val="minor"/>
    </font>
    <font>
      <b/>
      <sz val="11"/>
      <color rgb="FF000000"/>
      <name val="Calibri"/>
      <family val="2"/>
      <scheme val="minor"/>
    </font>
    <font>
      <sz val="11"/>
      <color rgb="FF4472C4"/>
      <name val="Calibri"/>
      <family val="2"/>
      <scheme val="minor"/>
    </font>
    <font>
      <u/>
      <sz val="11"/>
      <color theme="10"/>
      <name val="Calibri"/>
      <family val="2"/>
      <scheme val="minor"/>
    </font>
    <font>
      <b/>
      <sz val="12"/>
      <color rgb="FFFFFFFF"/>
      <name val="Calibri"/>
      <family val="2"/>
    </font>
    <font>
      <b/>
      <sz val="16"/>
      <name val="Calibri"/>
      <family val="2"/>
      <scheme val="minor"/>
    </font>
    <font>
      <b/>
      <sz val="7"/>
      <name val="Times New Roman"/>
      <family val="1"/>
    </font>
    <font>
      <sz val="11"/>
      <name val="Calibri"/>
      <family val="2"/>
      <scheme val="minor"/>
    </font>
    <font>
      <b/>
      <sz val="11"/>
      <color rgb="FFFFFFFF"/>
      <name val="Calibri"/>
      <family val="2"/>
      <scheme val="minor"/>
    </font>
    <font>
      <sz val="11"/>
      <color rgb="FFFFFFFF"/>
      <name val="Calibri"/>
      <family val="2"/>
      <scheme val="minor"/>
    </font>
    <font>
      <b/>
      <sz val="12"/>
      <name val="Calibri"/>
      <family val="2"/>
      <scheme val="minor"/>
    </font>
    <font>
      <b/>
      <u/>
      <sz val="12"/>
      <name val="Calibri"/>
      <family val="2"/>
      <scheme val="minor"/>
    </font>
    <font>
      <sz val="11"/>
      <color theme="4"/>
      <name val="Calibri"/>
      <family val="2"/>
    </font>
    <font>
      <b/>
      <sz val="12"/>
      <color rgb="FFFF0000"/>
      <name val="Calibri"/>
      <family val="2"/>
      <scheme val="minor"/>
    </font>
    <font>
      <sz val="8"/>
      <name val="Calibri"/>
      <family val="2"/>
      <scheme val="minor"/>
    </font>
    <font>
      <sz val="11"/>
      <color theme="4" tint="0.39997558519241921"/>
      <name val="Calibri"/>
      <family val="2"/>
      <scheme val="minor"/>
    </font>
    <font>
      <b/>
      <sz val="11"/>
      <color theme="4" tint="0.39997558519241921"/>
      <name val="Calibri"/>
      <family val="2"/>
      <scheme val="minor"/>
    </font>
    <font>
      <b/>
      <sz val="11"/>
      <name val="Calibri"/>
      <family val="2"/>
      <scheme val="minor"/>
    </font>
    <font>
      <sz val="11"/>
      <color theme="1"/>
      <name val="Calibri"/>
      <family val="2"/>
      <scheme val="minor"/>
    </font>
    <font>
      <sz val="11"/>
      <color theme="8" tint="-0.249977111117893"/>
      <name val="Calibri"/>
      <family val="2"/>
      <scheme val="minor"/>
    </font>
    <font>
      <b/>
      <sz val="11"/>
      <color theme="8" tint="-0.249977111117893"/>
      <name val="Calibri"/>
      <family val="2"/>
      <scheme val="minor"/>
    </font>
    <font>
      <b/>
      <sz val="12"/>
      <color rgb="FFFFFFFF"/>
      <name val="Calibri"/>
      <family val="2"/>
      <scheme val="minor"/>
    </font>
    <font>
      <b/>
      <sz val="14"/>
      <color theme="1"/>
      <name val="Calibri"/>
      <family val="2"/>
      <scheme val="minor"/>
    </font>
    <font>
      <b/>
      <sz val="22"/>
      <color theme="1"/>
      <name val="Calibri"/>
      <family val="2"/>
      <scheme val="minor"/>
    </font>
    <font>
      <b/>
      <sz val="22"/>
      <color theme="5" tint="-0.499984740745262"/>
      <name val="Calibri"/>
      <family val="2"/>
      <scheme val="minor"/>
    </font>
    <font>
      <sz val="11"/>
      <color theme="5" tint="-0.499984740745262"/>
      <name val="Calibri"/>
      <family val="2"/>
      <scheme val="minor"/>
    </font>
    <font>
      <b/>
      <sz val="11"/>
      <color theme="5" tint="-0.499984740745262"/>
      <name val="Calibri"/>
      <family val="2"/>
      <scheme val="minor"/>
    </font>
    <font>
      <b/>
      <sz val="11"/>
      <color theme="5" tint="-0.249977111117893"/>
      <name val="Calibri"/>
      <family val="2"/>
      <scheme val="minor"/>
    </font>
    <font>
      <sz val="11"/>
      <color theme="5" tint="0.39997558519241921"/>
      <name val="Calibri"/>
      <family val="2"/>
      <scheme val="minor"/>
    </font>
    <font>
      <b/>
      <sz val="14"/>
      <name val="Calibri"/>
      <family val="2"/>
      <scheme val="minor"/>
    </font>
    <font>
      <b/>
      <sz val="14"/>
      <color rgb="FFFF0000"/>
      <name val="Calibri"/>
      <family val="2"/>
      <scheme val="minor"/>
    </font>
    <font>
      <b/>
      <sz val="11"/>
      <color theme="5" tint="0.39997558519241921"/>
      <name val="Calibri"/>
      <family val="2"/>
      <scheme val="minor"/>
    </font>
    <font>
      <i/>
      <sz val="11"/>
      <color theme="1"/>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1F4E79"/>
        <bgColor indexed="64"/>
      </patternFill>
    </fill>
    <fill>
      <patternFill patternType="solid">
        <fgColor theme="2"/>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C99FF"/>
        <bgColor indexed="64"/>
      </patternFill>
    </fill>
    <fill>
      <patternFill patternType="solid">
        <fgColor rgb="FFCCCCFF"/>
        <bgColor indexed="64"/>
      </patternFill>
    </fill>
    <fill>
      <patternFill patternType="solid">
        <fgColor rgb="FF1F4E79"/>
        <bgColor rgb="FF000000"/>
      </patternFill>
    </fill>
    <fill>
      <patternFill patternType="solid">
        <fgColor rgb="FFE7E6E6"/>
        <bgColor rgb="FF000000"/>
      </patternFill>
    </fill>
    <fill>
      <patternFill patternType="solid">
        <fgColor rgb="FFFFC000"/>
        <bgColor indexed="64"/>
      </patternFill>
    </fill>
    <fill>
      <patternFill patternType="solid">
        <fgColor theme="0" tint="-4.9989318521683403E-2"/>
        <bgColor indexed="64"/>
      </patternFill>
    </fill>
    <fill>
      <patternFill patternType="solid">
        <fgColor theme="9" tint="0.79998168889431442"/>
        <bgColor indexed="64"/>
      </patternFill>
    </fill>
  </fills>
  <borders count="40">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diagonal/>
    </border>
    <border>
      <left/>
      <right style="thin">
        <color indexed="64"/>
      </right>
      <top/>
      <bottom/>
      <diagonal/>
    </border>
    <border>
      <left style="thin">
        <color indexed="64"/>
      </left>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s>
  <cellStyleXfs count="3">
    <xf numFmtId="0" fontId="0" fillId="0" borderId="0"/>
    <xf numFmtId="0" fontId="13" fillId="0" borderId="0" applyNumberFormat="0" applyFill="0" applyBorder="0" applyAlignment="0" applyProtection="0"/>
    <xf numFmtId="9" fontId="28" fillId="0" borderId="0" applyFont="0" applyFill="0" applyBorder="0" applyAlignment="0" applyProtection="0"/>
  </cellStyleXfs>
  <cellXfs count="211">
    <xf numFmtId="0" fontId="0" fillId="0" borderId="0" xfId="0"/>
    <xf numFmtId="0" fontId="0" fillId="2" borderId="0" xfId="0" applyFill="1"/>
    <xf numFmtId="0" fontId="0" fillId="2" borderId="0" xfId="0" applyFill="1" applyAlignment="1">
      <alignment wrapText="1"/>
    </xf>
    <xf numFmtId="0" fontId="3" fillId="3" borderId="0" xfId="0" applyFont="1" applyFill="1" applyAlignment="1">
      <alignment vertical="center"/>
    </xf>
    <xf numFmtId="0" fontId="0" fillId="3" borderId="0" xfId="0" applyFill="1" applyAlignment="1">
      <alignment vertical="center"/>
    </xf>
    <xf numFmtId="0" fontId="13" fillId="3" borderId="0" xfId="1" applyFill="1" applyAlignment="1">
      <alignment horizontal="left" vertical="center" indent="5"/>
    </xf>
    <xf numFmtId="0" fontId="0" fillId="3" borderId="0" xfId="0" applyFill="1"/>
    <xf numFmtId="0" fontId="13" fillId="3" borderId="0" xfId="1" quotePrefix="1" applyFill="1" applyAlignment="1">
      <alignment horizontal="left" vertical="center" indent="5"/>
    </xf>
    <xf numFmtId="0" fontId="17" fillId="2" borderId="0" xfId="0" applyFont="1" applyFill="1"/>
    <xf numFmtId="0" fontId="15" fillId="2" borderId="0" xfId="0" applyFont="1" applyFill="1" applyAlignment="1">
      <alignment vertical="center"/>
    </xf>
    <xf numFmtId="0" fontId="17" fillId="2" borderId="0" xfId="0" applyFont="1" applyFill="1" applyAlignment="1">
      <alignment vertical="top"/>
    </xf>
    <xf numFmtId="0" fontId="1" fillId="2" borderId="0" xfId="0" applyFont="1" applyFill="1" applyAlignment="1">
      <alignment horizontal="right"/>
    </xf>
    <xf numFmtId="0" fontId="21" fillId="2" borderId="0" xfId="0" applyFont="1" applyFill="1"/>
    <xf numFmtId="0" fontId="20" fillId="2" borderId="0" xfId="0" applyFont="1" applyFill="1" applyAlignment="1">
      <alignment vertical="center"/>
    </xf>
    <xf numFmtId="0" fontId="17" fillId="2" borderId="0" xfId="0" applyFont="1" applyFill="1" applyAlignment="1">
      <alignment vertical="center"/>
    </xf>
    <xf numFmtId="10" fontId="17" fillId="8" borderId="3" xfId="0" applyNumberFormat="1" applyFont="1" applyFill="1" applyBorder="1" applyAlignment="1">
      <alignment horizontal="left" vertical="center" wrapText="1" indent="1"/>
    </xf>
    <xf numFmtId="10" fontId="17" fillId="9" borderId="3" xfId="0" applyNumberFormat="1" applyFont="1" applyFill="1" applyBorder="1" applyAlignment="1">
      <alignment horizontal="left" vertical="center" wrapText="1" indent="1"/>
    </xf>
    <xf numFmtId="0" fontId="2" fillId="0" borderId="0" xfId="0" applyFont="1"/>
    <xf numFmtId="0" fontId="26" fillId="2" borderId="0" xfId="0" applyFont="1" applyFill="1"/>
    <xf numFmtId="0" fontId="26" fillId="3" borderId="0" xfId="0" applyFont="1" applyFill="1" applyAlignment="1">
      <alignment vertical="center"/>
    </xf>
    <xf numFmtId="0" fontId="14" fillId="4" borderId="2" xfId="0" applyFont="1" applyFill="1" applyBorder="1" applyAlignment="1">
      <alignment horizontal="center" vertical="center" wrapText="1"/>
    </xf>
    <xf numFmtId="0" fontId="14" fillId="4" borderId="2" xfId="0" applyFont="1" applyFill="1" applyBorder="1" applyAlignment="1">
      <alignment horizontal="left" vertical="center" wrapText="1"/>
    </xf>
    <xf numFmtId="0" fontId="14" fillId="4" borderId="19" xfId="0" applyFont="1" applyFill="1" applyBorder="1" applyAlignment="1">
      <alignment horizontal="center" vertical="center" wrapText="1"/>
    </xf>
    <xf numFmtId="0" fontId="0" fillId="10" borderId="0" xfId="0" applyFill="1"/>
    <xf numFmtId="0" fontId="0" fillId="9" borderId="0" xfId="0" applyFill="1"/>
    <xf numFmtId="0" fontId="0" fillId="0" borderId="0" xfId="0" applyAlignment="1">
      <alignment horizontal="right"/>
    </xf>
    <xf numFmtId="0" fontId="0" fillId="0" borderId="0" xfId="0" applyAlignment="1">
      <alignment wrapText="1"/>
    </xf>
    <xf numFmtId="0" fontId="21" fillId="2" borderId="0" xfId="0" quotePrefix="1" applyFont="1" applyFill="1"/>
    <xf numFmtId="0" fontId="17" fillId="12" borderId="3" xfId="0" applyFont="1" applyFill="1" applyBorder="1" applyAlignment="1">
      <alignment vertical="center" wrapText="1"/>
    </xf>
    <xf numFmtId="0" fontId="30" fillId="10" borderId="0" xfId="0" applyFont="1" applyFill="1" applyAlignment="1">
      <alignment horizontal="right"/>
    </xf>
    <xf numFmtId="0" fontId="30" fillId="9" borderId="0" xfId="0" applyFont="1" applyFill="1" applyAlignment="1">
      <alignment horizontal="right"/>
    </xf>
    <xf numFmtId="49" fontId="30" fillId="10" borderId="0" xfId="0" applyNumberFormat="1" applyFont="1" applyFill="1" applyAlignment="1">
      <alignment horizontal="right"/>
    </xf>
    <xf numFmtId="9" fontId="17" fillId="8" borderId="4" xfId="2" applyFont="1" applyFill="1" applyBorder="1" applyAlignment="1">
      <alignment horizontal="right" vertical="center" wrapText="1"/>
    </xf>
    <xf numFmtId="9" fontId="17" fillId="11" borderId="4" xfId="2" applyFont="1" applyFill="1" applyBorder="1" applyAlignment="1">
      <alignment horizontal="right" vertical="center" wrapText="1"/>
    </xf>
    <xf numFmtId="9" fontId="17" fillId="9" borderId="4" xfId="2" applyFont="1" applyFill="1" applyBorder="1" applyAlignment="1">
      <alignment horizontal="right" vertical="center" wrapText="1"/>
    </xf>
    <xf numFmtId="9" fontId="17" fillId="12" borderId="3" xfId="2" applyFont="1" applyFill="1" applyBorder="1" applyAlignment="1">
      <alignment horizontal="right" vertical="center" wrapText="1"/>
    </xf>
    <xf numFmtId="9" fontId="17" fillId="13" borderId="3" xfId="2" applyFont="1" applyFill="1" applyBorder="1" applyAlignment="1">
      <alignment horizontal="right" vertical="center" wrapText="1"/>
    </xf>
    <xf numFmtId="0" fontId="29" fillId="0" borderId="0" xfId="0" applyFont="1"/>
    <xf numFmtId="9" fontId="0" fillId="0" borderId="0" xfId="2" applyFont="1" applyAlignment="1">
      <alignment horizontal="right" vertical="center" wrapText="1"/>
    </xf>
    <xf numFmtId="0" fontId="17" fillId="9" borderId="15" xfId="0" applyFont="1" applyFill="1" applyBorder="1" applyAlignment="1">
      <alignment horizontal="left" vertical="center" wrapText="1"/>
    </xf>
    <xf numFmtId="9" fontId="0" fillId="0" borderId="0" xfId="2" applyFont="1" applyBorder="1" applyAlignment="1">
      <alignment horizontal="right" vertical="center" wrapText="1"/>
    </xf>
    <xf numFmtId="10" fontId="17" fillId="11" borderId="3" xfId="0" applyNumberFormat="1" applyFont="1" applyFill="1" applyBorder="1" applyAlignment="1">
      <alignment horizontal="left" vertical="center" wrapText="1" indent="1"/>
    </xf>
    <xf numFmtId="10" fontId="17" fillId="12" borderId="3" xfId="0" applyNumberFormat="1" applyFont="1" applyFill="1" applyBorder="1" applyAlignment="1">
      <alignment horizontal="left" vertical="center" wrapText="1" indent="1"/>
    </xf>
    <xf numFmtId="10" fontId="17" fillId="13" borderId="3" xfId="0" applyNumberFormat="1" applyFont="1" applyFill="1" applyBorder="1" applyAlignment="1">
      <alignment horizontal="left" vertical="center" wrapText="1" indent="1"/>
    </xf>
    <xf numFmtId="0" fontId="17" fillId="0" borderId="0" xfId="0" applyFont="1"/>
    <xf numFmtId="0" fontId="27" fillId="0" borderId="0" xfId="0" applyFont="1"/>
    <xf numFmtId="0" fontId="31" fillId="14" borderId="27" xfId="0" applyFont="1" applyFill="1" applyBorder="1" applyAlignment="1">
      <alignment horizontal="center" vertical="center" wrapText="1"/>
    </xf>
    <xf numFmtId="0" fontId="31" fillId="14" borderId="28" xfId="0" applyFont="1" applyFill="1" applyBorder="1" applyAlignment="1">
      <alignment horizontal="center" vertical="center" wrapText="1"/>
    </xf>
    <xf numFmtId="0" fontId="12" fillId="15" borderId="1" xfId="0" applyFont="1" applyFill="1" applyBorder="1" applyAlignment="1">
      <alignment horizontal="left" vertical="center" wrapText="1"/>
    </xf>
    <xf numFmtId="0" fontId="12" fillId="15" borderId="2" xfId="0" applyFont="1" applyFill="1" applyBorder="1" applyAlignment="1">
      <alignment horizontal="left" vertical="center" wrapText="1"/>
    </xf>
    <xf numFmtId="0" fontId="1" fillId="0" borderId="0" xfId="0" applyFont="1" applyAlignment="1">
      <alignment horizontal="right"/>
    </xf>
    <xf numFmtId="0" fontId="0" fillId="0" borderId="0" xfId="0" quotePrefix="1"/>
    <xf numFmtId="0" fontId="33" fillId="0" borderId="0" xfId="0" applyFont="1" applyAlignment="1">
      <alignment vertical="top"/>
    </xf>
    <xf numFmtId="0" fontId="34" fillId="0" borderId="0" xfId="0" applyFont="1" applyAlignment="1">
      <alignment horizontal="left" vertical="top"/>
    </xf>
    <xf numFmtId="0" fontId="35" fillId="0" borderId="0" xfId="0" applyFont="1" applyAlignment="1">
      <alignment horizontal="left"/>
    </xf>
    <xf numFmtId="0" fontId="0" fillId="0" borderId="0" xfId="0" applyAlignment="1">
      <alignment horizontal="left"/>
    </xf>
    <xf numFmtId="0" fontId="23" fillId="2" borderId="0" xfId="0" applyFont="1" applyFill="1" applyAlignment="1" applyProtection="1">
      <alignment vertical="center"/>
      <protection locked="0"/>
    </xf>
    <xf numFmtId="0" fontId="26" fillId="2" borderId="0" xfId="0" applyFont="1" applyFill="1" applyProtection="1">
      <protection locked="0"/>
    </xf>
    <xf numFmtId="0" fontId="17" fillId="2" borderId="0" xfId="0" applyFont="1" applyFill="1" applyAlignment="1" applyProtection="1">
      <alignment vertical="center"/>
      <protection locked="0"/>
    </xf>
    <xf numFmtId="0" fontId="18" fillId="4" borderId="3" xfId="0" applyFont="1" applyFill="1" applyBorder="1" applyAlignment="1" applyProtection="1">
      <alignment horizontal="center" vertical="center" wrapText="1"/>
      <protection locked="0"/>
    </xf>
    <xf numFmtId="0" fontId="17" fillId="2" borderId="0" xfId="0" applyFont="1" applyFill="1" applyProtection="1">
      <protection locked="0"/>
    </xf>
    <xf numFmtId="0" fontId="25" fillId="2" borderId="0" xfId="0" applyFont="1" applyFill="1" applyProtection="1">
      <protection locked="0"/>
    </xf>
    <xf numFmtId="0" fontId="20" fillId="2" borderId="0" xfId="0" applyFont="1" applyFill="1" applyAlignment="1" applyProtection="1">
      <alignment vertical="center"/>
      <protection locked="0"/>
    </xf>
    <xf numFmtId="0" fontId="15" fillId="2" borderId="0" xfId="0" applyFont="1" applyFill="1" applyAlignment="1" applyProtection="1">
      <alignment vertical="center"/>
      <protection locked="0"/>
    </xf>
    <xf numFmtId="49" fontId="17" fillId="6" borderId="3" xfId="0" applyNumberFormat="1" applyFont="1" applyFill="1" applyBorder="1" applyAlignment="1" applyProtection="1">
      <alignment horizontal="center" vertical="top" wrapText="1"/>
      <protection locked="0"/>
    </xf>
    <xf numFmtId="0" fontId="17" fillId="6" borderId="3" xfId="0" applyFont="1" applyFill="1" applyBorder="1" applyAlignment="1" applyProtection="1">
      <alignment horizontal="center" vertical="top" wrapText="1"/>
      <protection locked="0"/>
    </xf>
    <xf numFmtId="0" fontId="17" fillId="7" borderId="3" xfId="0" applyFont="1" applyFill="1" applyBorder="1" applyAlignment="1" applyProtection="1">
      <alignment horizontal="center" vertical="top" wrapText="1"/>
      <protection locked="0"/>
    </xf>
    <xf numFmtId="0" fontId="17" fillId="3" borderId="3" xfId="0" applyFont="1" applyFill="1" applyBorder="1" applyAlignment="1" applyProtection="1">
      <alignment vertical="top" wrapText="1"/>
      <protection locked="0"/>
    </xf>
    <xf numFmtId="0" fontId="17" fillId="6" borderId="3" xfId="0" applyFont="1" applyFill="1" applyBorder="1" applyAlignment="1" applyProtection="1">
      <alignment vertical="top" wrapText="1"/>
      <protection locked="0"/>
    </xf>
    <xf numFmtId="0" fontId="17" fillId="3" borderId="3" xfId="0" applyFont="1" applyFill="1" applyBorder="1" applyAlignment="1" applyProtection="1">
      <alignment horizontal="center" vertical="top" wrapText="1"/>
      <protection locked="0"/>
    </xf>
    <xf numFmtId="0" fontId="17" fillId="2" borderId="0" xfId="0" applyFont="1" applyFill="1" applyAlignment="1" applyProtection="1">
      <alignment wrapText="1"/>
      <protection locked="0"/>
    </xf>
    <xf numFmtId="0" fontId="0" fillId="0" borderId="20" xfId="0" applyBorder="1"/>
    <xf numFmtId="0" fontId="0" fillId="0" borderId="33" xfId="0" applyBorder="1"/>
    <xf numFmtId="0" fontId="0" fillId="0" borderId="1" xfId="0" applyBorder="1"/>
    <xf numFmtId="0" fontId="2" fillId="0" borderId="32" xfId="0" applyFont="1" applyBorder="1"/>
    <xf numFmtId="0" fontId="1" fillId="2" borderId="0" xfId="0" applyFont="1" applyFill="1"/>
    <xf numFmtId="0" fontId="22" fillId="5" borderId="27" xfId="0" applyFont="1" applyFill="1" applyBorder="1" applyAlignment="1">
      <alignment horizontal="center" vertical="center" wrapText="1"/>
    </xf>
    <xf numFmtId="0" fontId="35" fillId="16" borderId="0" xfId="0" applyFont="1" applyFill="1" applyAlignment="1">
      <alignment horizontal="left"/>
    </xf>
    <xf numFmtId="0" fontId="17" fillId="3" borderId="16" xfId="0" applyFont="1" applyFill="1" applyBorder="1" applyAlignment="1">
      <alignment vertical="top" wrapText="1"/>
    </xf>
    <xf numFmtId="0" fontId="17" fillId="3" borderId="31" xfId="0" applyFont="1" applyFill="1" applyBorder="1" applyAlignment="1">
      <alignment horizontal="center" vertical="top" wrapText="1"/>
    </xf>
    <xf numFmtId="0" fontId="17" fillId="3" borderId="21" xfId="0" applyFont="1" applyFill="1" applyBorder="1" applyAlignment="1">
      <alignment vertical="top" wrapText="1"/>
    </xf>
    <xf numFmtId="0" fontId="17" fillId="3" borderId="22" xfId="0" applyFont="1" applyFill="1" applyBorder="1" applyAlignment="1">
      <alignment horizontal="center" vertical="top" wrapText="1"/>
    </xf>
    <xf numFmtId="0" fontId="0" fillId="0" borderId="3" xfId="0" applyBorder="1" applyAlignment="1">
      <alignment vertical="top" wrapText="1"/>
    </xf>
    <xf numFmtId="0" fontId="19" fillId="4" borderId="3" xfId="0" applyFont="1" applyFill="1" applyBorder="1" applyAlignment="1">
      <alignment horizontal="center" vertical="center" wrapText="1"/>
    </xf>
    <xf numFmtId="0" fontId="19" fillId="4" borderId="3" xfId="0" applyFont="1" applyFill="1" applyBorder="1" applyAlignment="1">
      <alignment vertical="center" wrapText="1"/>
    </xf>
    <xf numFmtId="0" fontId="0" fillId="0" borderId="3" xfId="0" applyBorder="1" applyAlignment="1">
      <alignment wrapText="1"/>
    </xf>
    <xf numFmtId="0" fontId="38" fillId="4" borderId="22" xfId="0" applyFont="1" applyFill="1" applyBorder="1" applyAlignment="1">
      <alignment vertical="center" wrapText="1"/>
    </xf>
    <xf numFmtId="0" fontId="38" fillId="4" borderId="21" xfId="0" applyFont="1" applyFill="1" applyBorder="1" applyAlignment="1">
      <alignment vertical="center" wrapText="1"/>
    </xf>
    <xf numFmtId="0" fontId="39" fillId="2" borderId="0" xfId="0" applyFont="1" applyFill="1" applyAlignment="1">
      <alignment vertical="center"/>
    </xf>
    <xf numFmtId="0" fontId="34" fillId="0" borderId="0" xfId="0" applyFont="1" applyAlignment="1">
      <alignment horizontal="left" vertical="top" wrapText="1"/>
    </xf>
    <xf numFmtId="0" fontId="35" fillId="0" borderId="0" xfId="0" applyFont="1" applyAlignment="1">
      <alignment horizontal="left" wrapText="1"/>
    </xf>
    <xf numFmtId="0" fontId="35" fillId="0" borderId="0" xfId="0" quotePrefix="1" applyFont="1" applyAlignment="1">
      <alignment horizontal="left" wrapText="1"/>
    </xf>
    <xf numFmtId="0" fontId="36" fillId="0" borderId="0" xfId="0" applyFont="1" applyAlignment="1">
      <alignment horizontal="left" wrapText="1"/>
    </xf>
    <xf numFmtId="0" fontId="19" fillId="4" borderId="3" xfId="0" applyFont="1" applyFill="1" applyBorder="1" applyAlignment="1" applyProtection="1">
      <alignment vertical="center" wrapText="1"/>
      <protection locked="0"/>
    </xf>
    <xf numFmtId="0" fontId="19" fillId="4" borderId="3" xfId="0" applyFont="1" applyFill="1" applyBorder="1" applyAlignment="1" applyProtection="1">
      <alignment horizontal="center" vertical="center" wrapText="1"/>
      <protection locked="0"/>
    </xf>
    <xf numFmtId="0" fontId="19" fillId="4" borderId="13" xfId="0" applyFont="1" applyFill="1" applyBorder="1" applyAlignment="1" applyProtection="1">
      <alignment vertical="center" wrapText="1"/>
      <protection locked="0"/>
    </xf>
    <xf numFmtId="0" fontId="3" fillId="0" borderId="0" xfId="0" applyFont="1" applyAlignment="1">
      <alignment horizontal="left" vertical="center" wrapText="1"/>
    </xf>
    <xf numFmtId="0" fontId="0" fillId="0" borderId="0" xfId="0" applyAlignment="1">
      <alignment vertical="center" wrapText="1"/>
    </xf>
    <xf numFmtId="0" fontId="6" fillId="0" borderId="0" xfId="0" applyFont="1" applyAlignment="1">
      <alignment vertical="center" wrapText="1"/>
    </xf>
    <xf numFmtId="0" fontId="9" fillId="0" borderId="0" xfId="0" applyFont="1" applyAlignment="1">
      <alignment vertical="center" wrapText="1"/>
    </xf>
    <xf numFmtId="16" fontId="3" fillId="0" borderId="0" xfId="0" quotePrefix="1" applyNumberFormat="1" applyFont="1" applyAlignment="1">
      <alignment horizontal="left" vertical="center" wrapText="1"/>
    </xf>
    <xf numFmtId="0" fontId="0" fillId="17" borderId="3" xfId="0" applyFill="1" applyBorder="1" applyAlignment="1">
      <alignment wrapText="1"/>
    </xf>
    <xf numFmtId="0" fontId="0" fillId="5" borderId="30" xfId="0" applyFill="1" applyBorder="1"/>
    <xf numFmtId="0" fontId="0" fillId="5" borderId="0" xfId="0" applyFill="1"/>
    <xf numFmtId="0" fontId="38" fillId="4" borderId="3" xfId="0" applyFont="1" applyFill="1" applyBorder="1" applyAlignment="1">
      <alignment horizontal="center" vertical="center" wrapText="1"/>
    </xf>
    <xf numFmtId="0" fontId="41" fillId="4" borderId="3" xfId="0" applyFont="1" applyFill="1" applyBorder="1" applyAlignment="1">
      <alignment horizontal="center" vertical="center" wrapText="1"/>
    </xf>
    <xf numFmtId="0" fontId="38" fillId="4" borderId="3" xfId="0" applyFont="1" applyFill="1" applyBorder="1" applyAlignment="1">
      <alignment vertical="center" wrapText="1"/>
    </xf>
    <xf numFmtId="0" fontId="14" fillId="4" borderId="0" xfId="0" applyFont="1" applyFill="1" applyAlignment="1">
      <alignment horizontal="center" vertical="center" wrapText="1"/>
    </xf>
    <xf numFmtId="0" fontId="17" fillId="9" borderId="4" xfId="0" applyFont="1" applyFill="1" applyBorder="1" applyAlignment="1">
      <alignment horizontal="left" vertical="center" wrapText="1"/>
    </xf>
    <xf numFmtId="0" fontId="17" fillId="11" borderId="4" xfId="0" applyFont="1" applyFill="1" applyBorder="1" applyAlignment="1">
      <alignment horizontal="left" vertical="center" wrapText="1"/>
    </xf>
    <xf numFmtId="0" fontId="17" fillId="8" borderId="4" xfId="0" applyFont="1" applyFill="1" applyBorder="1" applyAlignment="1">
      <alignment horizontal="left" vertical="center" wrapText="1"/>
    </xf>
    <xf numFmtId="0" fontId="2" fillId="5" borderId="34"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5" borderId="6" xfId="0" applyFont="1" applyFill="1" applyBorder="1" applyAlignment="1">
      <alignment horizontal="left" vertical="top" wrapText="1"/>
    </xf>
    <xf numFmtId="0" fontId="17" fillId="0" borderId="0" xfId="0" applyFont="1" applyAlignment="1">
      <alignment vertical="center" wrapText="1"/>
    </xf>
    <xf numFmtId="0" fontId="0" fillId="17" borderId="3" xfId="0" applyFill="1" applyBorder="1" applyAlignment="1">
      <alignment horizontal="center" wrapText="1"/>
    </xf>
    <xf numFmtId="49" fontId="0" fillId="17" borderId="3" xfId="0" quotePrefix="1" applyNumberFormat="1" applyFill="1" applyBorder="1" applyAlignment="1">
      <alignment wrapText="1"/>
    </xf>
    <xf numFmtId="0" fontId="14" fillId="4" borderId="28" xfId="0" applyFont="1" applyFill="1" applyBorder="1" applyAlignment="1">
      <alignment horizontal="center" vertical="center" wrapText="1"/>
    </xf>
    <xf numFmtId="0" fontId="14" fillId="4" borderId="39" xfId="0" applyFont="1" applyFill="1" applyBorder="1" applyAlignment="1">
      <alignment horizontal="center" vertical="center" wrapText="1"/>
    </xf>
    <xf numFmtId="0" fontId="14" fillId="4" borderId="28" xfId="0" applyFont="1" applyFill="1" applyBorder="1" applyAlignment="1">
      <alignment horizontal="left" vertical="center" wrapText="1"/>
    </xf>
    <xf numFmtId="9" fontId="17" fillId="13" borderId="3" xfId="2" applyFont="1" applyFill="1" applyBorder="1" applyAlignment="1">
      <alignment horizontal="left" vertical="center" wrapText="1"/>
    </xf>
    <xf numFmtId="9" fontId="17" fillId="11" borderId="4" xfId="2" applyFont="1" applyFill="1" applyBorder="1" applyAlignment="1">
      <alignment horizontal="left" vertical="center" wrapText="1"/>
    </xf>
    <xf numFmtId="0" fontId="0" fillId="3" borderId="3" xfId="0" applyFill="1" applyBorder="1" applyAlignment="1" applyProtection="1">
      <alignment vertical="top" wrapText="1"/>
      <protection locked="0"/>
    </xf>
    <xf numFmtId="0" fontId="17" fillId="12" borderId="3" xfId="0" applyFont="1" applyFill="1" applyBorder="1" applyAlignment="1">
      <alignment horizontal="center" vertical="top" wrapText="1"/>
    </xf>
    <xf numFmtId="0" fontId="17" fillId="12" borderId="3" xfId="0" applyFont="1" applyFill="1" applyBorder="1" applyAlignment="1">
      <alignment horizontal="left" vertical="top" wrapText="1"/>
    </xf>
    <xf numFmtId="0" fontId="17" fillId="12" borderId="3" xfId="0" applyFont="1" applyFill="1" applyBorder="1" applyAlignment="1">
      <alignment horizontal="left" wrapText="1"/>
    </xf>
    <xf numFmtId="0" fontId="17" fillId="3" borderId="15" xfId="0" applyFont="1" applyFill="1" applyBorder="1" applyAlignment="1" applyProtection="1">
      <alignment horizontal="center" vertical="top" wrapText="1"/>
      <protection locked="0"/>
    </xf>
    <xf numFmtId="0" fontId="17" fillId="3" borderId="15" xfId="0" applyFont="1" applyFill="1" applyBorder="1" applyAlignment="1" applyProtection="1">
      <alignment wrapText="1"/>
      <protection locked="0"/>
    </xf>
    <xf numFmtId="0" fontId="17" fillId="3" borderId="15" xfId="0" applyFont="1" applyFill="1" applyBorder="1" applyProtection="1">
      <protection locked="0"/>
    </xf>
    <xf numFmtId="0" fontId="17" fillId="12" borderId="3" xfId="0" applyFont="1" applyFill="1" applyBorder="1" applyAlignment="1" applyProtection="1">
      <alignment horizontal="left" vertical="top" wrapText="1"/>
      <protection locked="0"/>
    </xf>
    <xf numFmtId="0" fontId="17" fillId="12" borderId="3" xfId="0" applyFont="1" applyFill="1" applyBorder="1" applyAlignment="1" applyProtection="1">
      <alignment horizontal="center" vertical="top" wrapText="1"/>
      <protection locked="0"/>
    </xf>
    <xf numFmtId="0" fontId="17" fillId="12" borderId="3" xfId="0" applyFont="1" applyFill="1" applyBorder="1" applyAlignment="1" applyProtection="1">
      <alignment horizontal="left" wrapText="1"/>
      <protection locked="0"/>
    </xf>
    <xf numFmtId="0" fontId="17" fillId="3" borderId="3" xfId="0" applyFont="1" applyFill="1" applyBorder="1" applyAlignment="1" applyProtection="1">
      <alignment wrapText="1"/>
      <protection locked="0"/>
    </xf>
    <xf numFmtId="0" fontId="17" fillId="3" borderId="3" xfId="0" applyFont="1" applyFill="1" applyBorder="1" applyProtection="1">
      <protection locked="0"/>
    </xf>
    <xf numFmtId="0" fontId="17" fillId="17" borderId="3" xfId="0" applyFont="1" applyFill="1" applyBorder="1" applyAlignment="1">
      <alignment horizontal="left" wrapText="1"/>
    </xf>
    <xf numFmtId="0" fontId="0" fillId="17" borderId="3" xfId="0" applyFill="1" applyBorder="1" applyAlignment="1">
      <alignment horizontal="left" wrapText="1"/>
    </xf>
    <xf numFmtId="0" fontId="1" fillId="0" borderId="3" xfId="0" applyFont="1" applyBorder="1" applyAlignment="1">
      <alignment vertical="top" wrapText="1"/>
    </xf>
    <xf numFmtId="0" fontId="27" fillId="0" borderId="3" xfId="0" applyFont="1" applyBorder="1" applyAlignment="1">
      <alignment vertical="top" wrapText="1"/>
    </xf>
    <xf numFmtId="49" fontId="0" fillId="17" borderId="3" xfId="0" applyNumberFormat="1" applyFill="1" applyBorder="1" applyAlignment="1">
      <alignment horizontal="left" wrapText="1"/>
    </xf>
    <xf numFmtId="0" fontId="0" fillId="18" borderId="3" xfId="0" applyFill="1" applyBorder="1" applyAlignment="1">
      <alignment wrapText="1"/>
    </xf>
    <xf numFmtId="49" fontId="17" fillId="17" borderId="3" xfId="0" applyNumberFormat="1" applyFont="1" applyFill="1" applyBorder="1" applyAlignment="1">
      <alignment horizontal="left" wrapText="1"/>
    </xf>
    <xf numFmtId="0" fontId="22" fillId="5" borderId="32" xfId="0" applyFont="1" applyFill="1" applyBorder="1" applyAlignment="1">
      <alignment horizontal="center" vertical="center" wrapText="1"/>
    </xf>
    <xf numFmtId="0" fontId="2" fillId="0" borderId="3" xfId="0" applyFont="1" applyBorder="1" applyAlignment="1">
      <alignment vertical="top" wrapText="1"/>
    </xf>
    <xf numFmtId="0" fontId="0" fillId="0" borderId="3" xfId="0" applyBorder="1" applyAlignment="1">
      <alignment horizontal="left" wrapText="1"/>
    </xf>
    <xf numFmtId="9" fontId="0" fillId="0" borderId="3" xfId="2" applyFont="1" applyBorder="1" applyAlignment="1">
      <alignment horizontal="left" wrapText="1"/>
    </xf>
    <xf numFmtId="0" fontId="14" fillId="4" borderId="0" xfId="0" applyFont="1" applyFill="1" applyAlignment="1">
      <alignment horizontal="center" vertical="center" wrapText="1"/>
    </xf>
    <xf numFmtId="0" fontId="18" fillId="4" borderId="3" xfId="0" applyFont="1" applyFill="1" applyBorder="1" applyAlignment="1" applyProtection="1">
      <alignment horizontal="left" vertical="center" wrapText="1"/>
      <protection locked="0"/>
    </xf>
    <xf numFmtId="0" fontId="17" fillId="8" borderId="4" xfId="0" applyFont="1" applyFill="1" applyBorder="1" applyAlignment="1">
      <alignment horizontal="left" vertical="center" wrapText="1"/>
    </xf>
    <xf numFmtId="0" fontId="17" fillId="8" borderId="5" xfId="0" applyFont="1" applyFill="1" applyBorder="1" applyAlignment="1">
      <alignment horizontal="left" vertical="center" wrapText="1"/>
    </xf>
    <xf numFmtId="0" fontId="17" fillId="8" borderId="6" xfId="0" applyFont="1" applyFill="1" applyBorder="1" applyAlignment="1">
      <alignment horizontal="left" vertical="center" wrapText="1"/>
    </xf>
    <xf numFmtId="0" fontId="17" fillId="11" borderId="4" xfId="0" applyFont="1" applyFill="1" applyBorder="1" applyAlignment="1">
      <alignment horizontal="left" vertical="center" wrapText="1"/>
    </xf>
    <xf numFmtId="0" fontId="17" fillId="11" borderId="5" xfId="0" applyFont="1" applyFill="1" applyBorder="1" applyAlignment="1">
      <alignment horizontal="left" vertical="center" wrapText="1"/>
    </xf>
    <xf numFmtId="0" fontId="17" fillId="11" borderId="6" xfId="0" applyFont="1" applyFill="1" applyBorder="1" applyAlignment="1">
      <alignment horizontal="left" vertical="center" wrapText="1"/>
    </xf>
    <xf numFmtId="0" fontId="17" fillId="9" borderId="4" xfId="0" applyFont="1" applyFill="1" applyBorder="1" applyAlignment="1">
      <alignment horizontal="left" vertical="center" wrapText="1"/>
    </xf>
    <xf numFmtId="0" fontId="17" fillId="9" borderId="5" xfId="0" applyFont="1" applyFill="1" applyBorder="1" applyAlignment="1">
      <alignment horizontal="left" vertical="center" wrapText="1"/>
    </xf>
    <xf numFmtId="0" fontId="17" fillId="9" borderId="6" xfId="0" applyFont="1" applyFill="1" applyBorder="1" applyAlignment="1">
      <alignment horizontal="left" vertical="center" wrapText="1"/>
    </xf>
    <xf numFmtId="0" fontId="37" fillId="5" borderId="13" xfId="0" applyFont="1" applyFill="1" applyBorder="1" applyAlignment="1">
      <alignment horizontal="left" vertical="top" wrapText="1"/>
    </xf>
    <xf numFmtId="0" fontId="37" fillId="5" borderId="3" xfId="0" applyFont="1" applyFill="1" applyBorder="1" applyAlignment="1">
      <alignment horizontal="left" vertical="top" wrapText="1"/>
    </xf>
    <xf numFmtId="0" fontId="17" fillId="12" borderId="4" xfId="0" applyFont="1" applyFill="1" applyBorder="1" applyAlignment="1">
      <alignment horizontal="left" vertical="center" wrapText="1"/>
    </xf>
    <xf numFmtId="0" fontId="17" fillId="12" borderId="5" xfId="0" applyFont="1" applyFill="1" applyBorder="1" applyAlignment="1">
      <alignment horizontal="left" vertical="center" wrapText="1"/>
    </xf>
    <xf numFmtId="0" fontId="17" fillId="12" borderId="6" xfId="0" applyFont="1" applyFill="1" applyBorder="1" applyAlignment="1">
      <alignment horizontal="left" vertical="center" wrapText="1"/>
    </xf>
    <xf numFmtId="0" fontId="17" fillId="13" borderId="4" xfId="0" applyFont="1" applyFill="1" applyBorder="1" applyAlignment="1">
      <alignment horizontal="left" vertical="center" wrapText="1"/>
    </xf>
    <xf numFmtId="0" fontId="17" fillId="13" borderId="5" xfId="0" applyFont="1" applyFill="1" applyBorder="1" applyAlignment="1">
      <alignment horizontal="left" vertical="center" wrapText="1"/>
    </xf>
    <xf numFmtId="0" fontId="17" fillId="13" borderId="6" xfId="0" applyFont="1" applyFill="1" applyBorder="1" applyAlignment="1">
      <alignment horizontal="left" vertical="center" wrapText="1"/>
    </xf>
    <xf numFmtId="0" fontId="41" fillId="4" borderId="23" xfId="0" applyFont="1" applyFill="1" applyBorder="1" applyAlignment="1" applyProtection="1">
      <alignment horizontal="center" vertical="center" wrapText="1"/>
      <protection locked="0"/>
    </xf>
    <xf numFmtId="0" fontId="41" fillId="4" borderId="24" xfId="0" applyFont="1" applyFill="1" applyBorder="1" applyAlignment="1" applyProtection="1">
      <alignment horizontal="center" vertical="center" wrapText="1"/>
      <protection locked="0"/>
    </xf>
    <xf numFmtId="0" fontId="41" fillId="4" borderId="25" xfId="0" applyFont="1" applyFill="1" applyBorder="1" applyAlignment="1" applyProtection="1">
      <alignment horizontal="center" vertical="center" wrapText="1"/>
      <protection locked="0"/>
    </xf>
    <xf numFmtId="0" fontId="17" fillId="3" borderId="6" xfId="0" applyFont="1" applyFill="1" applyBorder="1" applyAlignment="1" applyProtection="1">
      <alignment horizontal="center" vertical="top"/>
      <protection locked="0"/>
    </xf>
    <xf numFmtId="0" fontId="17" fillId="3" borderId="3" xfId="0" applyFont="1" applyFill="1" applyBorder="1" applyAlignment="1" applyProtection="1">
      <alignment horizontal="center" vertical="top"/>
      <protection locked="0"/>
    </xf>
    <xf numFmtId="0" fontId="17" fillId="3" borderId="14" xfId="0" applyFont="1" applyFill="1" applyBorder="1" applyAlignment="1" applyProtection="1">
      <alignment horizontal="center" vertical="top"/>
      <protection locked="0"/>
    </xf>
    <xf numFmtId="0" fontId="18" fillId="4" borderId="10" xfId="0" applyFont="1" applyFill="1" applyBorder="1" applyAlignment="1" applyProtection="1">
      <alignment horizontal="center" vertical="center" wrapText="1"/>
      <protection locked="0"/>
    </xf>
    <xf numFmtId="0" fontId="18" fillId="4" borderId="11" xfId="0" applyFont="1" applyFill="1" applyBorder="1" applyAlignment="1" applyProtection="1">
      <alignment horizontal="center" vertical="center" wrapText="1"/>
      <protection locked="0"/>
    </xf>
    <xf numFmtId="0" fontId="37" fillId="5" borderId="10" xfId="0" applyFont="1" applyFill="1" applyBorder="1" applyAlignment="1">
      <alignment horizontal="left" vertical="top" wrapText="1"/>
    </xf>
    <xf numFmtId="0" fontId="37" fillId="5" borderId="11" xfId="0" applyFont="1" applyFill="1" applyBorder="1" applyAlignment="1">
      <alignment horizontal="left" vertical="top" wrapText="1"/>
    </xf>
    <xf numFmtId="0" fontId="17" fillId="3" borderId="17" xfId="0" applyFont="1" applyFill="1" applyBorder="1" applyAlignment="1" applyProtection="1">
      <alignment horizontal="center" vertical="top"/>
      <protection locked="0"/>
    </xf>
    <xf numFmtId="0" fontId="17" fillId="3" borderId="11" xfId="0" applyFont="1" applyFill="1" applyBorder="1" applyAlignment="1" applyProtection="1">
      <alignment horizontal="center" vertical="top"/>
      <protection locked="0"/>
    </xf>
    <xf numFmtId="0" fontId="17" fillId="3" borderId="12" xfId="0" applyFont="1" applyFill="1" applyBorder="1" applyAlignment="1" applyProtection="1">
      <alignment horizontal="center" vertical="top"/>
      <protection locked="0"/>
    </xf>
    <xf numFmtId="0" fontId="37" fillId="5" borderId="7" xfId="0" applyFont="1" applyFill="1" applyBorder="1" applyAlignment="1">
      <alignment horizontal="left" vertical="top" wrapText="1"/>
    </xf>
    <xf numFmtId="0" fontId="37" fillId="5" borderId="8" xfId="0" applyFont="1" applyFill="1" applyBorder="1" applyAlignment="1">
      <alignment horizontal="left" vertical="top" wrapText="1"/>
    </xf>
    <xf numFmtId="0" fontId="17" fillId="3" borderId="18" xfId="0" applyFont="1" applyFill="1" applyBorder="1" applyAlignment="1" applyProtection="1">
      <alignment horizontal="center" vertical="top"/>
      <protection locked="0"/>
    </xf>
    <xf numFmtId="0" fontId="17" fillId="3" borderId="8" xfId="0" applyFont="1" applyFill="1" applyBorder="1" applyAlignment="1" applyProtection="1">
      <alignment horizontal="center" vertical="top"/>
      <protection locked="0"/>
    </xf>
    <xf numFmtId="0" fontId="17" fillId="3" borderId="9" xfId="0" applyFont="1" applyFill="1" applyBorder="1" applyAlignment="1" applyProtection="1">
      <alignment horizontal="center" vertical="top"/>
      <protection locked="0"/>
    </xf>
    <xf numFmtId="0" fontId="41" fillId="4" borderId="5" xfId="0" applyFont="1" applyFill="1" applyBorder="1" applyAlignment="1">
      <alignment horizontal="center" vertical="center" wrapText="1"/>
    </xf>
    <xf numFmtId="0" fontId="41" fillId="4" borderId="6" xfId="0" applyFont="1" applyFill="1" applyBorder="1" applyAlignment="1">
      <alignment horizontal="center" vertical="center" wrapText="1"/>
    </xf>
    <xf numFmtId="0" fontId="17" fillId="5" borderId="4" xfId="0" quotePrefix="1" applyFont="1" applyFill="1" applyBorder="1" applyAlignment="1">
      <alignment horizontal="center" vertical="top"/>
    </xf>
    <xf numFmtId="0" fontId="17" fillId="5" borderId="5" xfId="0" applyFont="1" applyFill="1" applyBorder="1" applyAlignment="1">
      <alignment horizontal="center" vertical="top"/>
    </xf>
    <xf numFmtId="0" fontId="17" fillId="5" borderId="35" xfId="0" applyFont="1" applyFill="1" applyBorder="1" applyAlignment="1">
      <alignment horizontal="center" vertical="top"/>
    </xf>
    <xf numFmtId="0" fontId="2" fillId="5" borderId="34"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5" borderId="6" xfId="0" applyFont="1" applyFill="1" applyBorder="1" applyAlignment="1">
      <alignment horizontal="left" vertical="top" wrapText="1"/>
    </xf>
    <xf numFmtId="0" fontId="2" fillId="5" borderId="36" xfId="0" applyFont="1" applyFill="1" applyBorder="1" applyAlignment="1">
      <alignment horizontal="left" vertical="top" wrapText="1"/>
    </xf>
    <xf numFmtId="0" fontId="2" fillId="5" borderId="37" xfId="0" applyFont="1" applyFill="1" applyBorder="1" applyAlignment="1">
      <alignment horizontal="left" vertical="top" wrapText="1"/>
    </xf>
    <xf numFmtId="0" fontId="2" fillId="5" borderId="18" xfId="0" applyFont="1" applyFill="1" applyBorder="1" applyAlignment="1">
      <alignment horizontal="left" vertical="top" wrapText="1"/>
    </xf>
    <xf numFmtId="0" fontId="17" fillId="5" borderId="29" xfId="0" quotePrefix="1" applyFont="1" applyFill="1" applyBorder="1" applyAlignment="1">
      <alignment horizontal="center" vertical="top"/>
    </xf>
    <xf numFmtId="0" fontId="17" fillId="5" borderId="37" xfId="0" applyFont="1" applyFill="1" applyBorder="1" applyAlignment="1">
      <alignment horizontal="center" vertical="top"/>
    </xf>
    <xf numFmtId="0" fontId="17" fillId="5" borderId="38" xfId="0" applyFont="1" applyFill="1" applyBorder="1" applyAlignment="1">
      <alignment horizontal="center" vertical="top"/>
    </xf>
    <xf numFmtId="0" fontId="37" fillId="5" borderId="26"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17" xfId="0" applyFont="1" applyFill="1" applyBorder="1" applyAlignment="1">
      <alignment horizontal="left" vertical="top" wrapText="1"/>
    </xf>
    <xf numFmtId="0" fontId="18" fillId="4"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7" fillId="3" borderId="23" xfId="0" applyFont="1" applyFill="1" applyBorder="1" applyAlignment="1" applyProtection="1">
      <alignment horizontal="center" vertical="top"/>
      <protection locked="0"/>
    </xf>
    <xf numFmtId="0" fontId="17" fillId="3" borderId="24" xfId="0" applyFont="1" applyFill="1" applyBorder="1" applyAlignment="1" applyProtection="1">
      <alignment horizontal="center" vertical="top"/>
      <protection locked="0"/>
    </xf>
    <xf numFmtId="0" fontId="17" fillId="3" borderId="25" xfId="0" applyFont="1" applyFill="1" applyBorder="1" applyAlignment="1" applyProtection="1">
      <alignment horizontal="center" vertical="top"/>
      <protection locked="0"/>
    </xf>
    <xf numFmtId="0" fontId="37" fillId="5" borderId="34" xfId="0" applyFont="1" applyFill="1" applyBorder="1" applyAlignment="1">
      <alignment horizontal="left" vertical="top" wrapText="1"/>
    </xf>
    <xf numFmtId="0" fontId="37" fillId="5" borderId="5" xfId="0" applyFont="1" applyFill="1" applyBorder="1" applyAlignment="1">
      <alignment horizontal="left" vertical="top" wrapText="1"/>
    </xf>
    <xf numFmtId="0" fontId="37" fillId="5" borderId="6" xfId="0" applyFont="1" applyFill="1" applyBorder="1" applyAlignment="1">
      <alignment horizontal="left" vertical="top" wrapText="1"/>
    </xf>
    <xf numFmtId="0" fontId="17" fillId="3" borderId="4" xfId="0" applyFont="1" applyFill="1" applyBorder="1" applyAlignment="1" applyProtection="1">
      <alignment horizontal="center" vertical="top"/>
      <protection locked="0"/>
    </xf>
    <xf numFmtId="0" fontId="0" fillId="0" borderId="5"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18" fillId="4" borderId="3" xfId="0" applyFont="1" applyFill="1" applyBorder="1" applyAlignment="1">
      <alignment horizontal="left" vertical="center" wrapText="1"/>
    </xf>
  </cellXfs>
  <cellStyles count="3">
    <cellStyle name="Hyperkobling" xfId="1" builtinId="8"/>
    <cellStyle name="Normal" xfId="0" builtinId="0"/>
    <cellStyle name="Prosent" xfId="2" builtinId="5"/>
  </cellStyles>
  <dxfs count="79">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center" vertical="top" textRotation="0" wrapText="1" indent="0" justifyLastLine="0" shrinkToFit="0" readingOrder="0"/>
      <border diagonalUp="0" diagonalDown="0">
        <left style="thin">
          <color indexed="64"/>
        </left>
        <right/>
        <top/>
        <bottom style="thin">
          <color indexed="64"/>
        </bottom>
        <vertical style="thin">
          <color indexed="64"/>
        </vertical>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bottom style="thin">
          <color indexed="64"/>
        </bottom>
        <vertical style="thin">
          <color indexed="64"/>
        </vertic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0"/>
        </patternFill>
      </fill>
    </dxf>
    <dxf>
      <border>
        <bottom style="thin">
          <color indexed="64"/>
        </bottom>
      </border>
    </dxf>
    <dxf>
      <font>
        <strike val="0"/>
        <outline val="0"/>
        <shadow val="0"/>
        <u val="none"/>
        <vertAlign val="baseline"/>
        <sz val="11"/>
        <color rgb="FFFF0000"/>
        <name val="Calibri"/>
        <family val="2"/>
        <scheme val="minor"/>
      </font>
      <border diagonalUp="0" diagonalDown="0">
        <left style="thin">
          <color indexed="64"/>
        </left>
        <right style="thin">
          <color indexed="64"/>
        </right>
        <top/>
        <bottom/>
        <vertical style="thin">
          <color indexed="64"/>
        </vertical>
      </border>
    </dxf>
    <dxf>
      <font>
        <strike val="0"/>
        <outline val="0"/>
        <shadow val="0"/>
        <u val="none"/>
        <vertAlign val="baseline"/>
        <sz val="11"/>
        <color theme="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solid">
          <fgColor indexed="64"/>
          <bgColor theme="0" tint="-4.9989318521683403E-2"/>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ttom style="thin">
          <color indexed="64"/>
        </bottom>
      </border>
    </dxf>
    <dxf>
      <font>
        <strike val="0"/>
        <outline val="0"/>
        <shadow val="0"/>
        <u val="none"/>
        <vertAlign val="baseline"/>
        <sz val="11"/>
        <color theme="1"/>
        <name val="Calibri"/>
        <family val="2"/>
        <scheme val="minor"/>
      </font>
      <fill>
        <patternFill patternType="none">
          <bgColor auto="1"/>
        </patternFill>
      </fill>
      <alignment textRotation="0" wrapText="1" indent="0" justifyLastLine="0" shrinkToFit="0" readingOrder="0"/>
    </dxf>
    <dxf>
      <font>
        <color rgb="FFFF0000"/>
      </font>
    </dxf>
    <dxf>
      <numFmt numFmtId="164" formatCode=";;;"/>
    </dxf>
    <dxf>
      <numFmt numFmtId="164" formatCode=";;;"/>
    </dxf>
    <dxf>
      <fill>
        <patternFill>
          <bgColor rgb="FFC6E0B4"/>
        </patternFill>
      </fill>
    </dxf>
    <dxf>
      <fill>
        <patternFill>
          <bgColor rgb="FFF8CBAD"/>
        </patternFill>
      </fill>
    </dxf>
    <dxf>
      <fill>
        <patternFill>
          <bgColor rgb="FFFFE699"/>
        </patternFill>
      </fill>
    </dxf>
    <dxf>
      <fill>
        <patternFill>
          <bgColor rgb="FF538DD5"/>
        </patternFill>
      </fill>
    </dxf>
    <dxf>
      <fill>
        <patternFill>
          <bgColor rgb="FFCC99FF"/>
        </patternFill>
      </fill>
    </dxf>
    <dxf>
      <fill>
        <patternFill>
          <bgColor rgb="FFCCCCFF"/>
        </patternFill>
      </fill>
    </dxf>
    <dxf>
      <font>
        <color theme="1" tint="0.24994659260841701"/>
      </font>
      <fill>
        <patternFill patternType="solid">
          <bgColor theme="1" tint="0.14996795556505021"/>
        </patternFill>
      </fill>
    </dxf>
    <dxf>
      <font>
        <color theme="2" tint="-0.499984740745262"/>
      </font>
      <fill>
        <patternFill>
          <bgColor theme="1" tint="0.499984740745262"/>
        </patternFill>
      </fill>
    </dxf>
    <dxf>
      <fill>
        <patternFill patternType="solid">
          <fgColor indexed="64"/>
          <bgColor theme="0"/>
        </patternFill>
      </fil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solid">
          <fgColor indexed="64"/>
          <bgColor theme="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dxf>
    <dxf>
      <numFmt numFmtId="0" formatCode="General"/>
    </dxf>
    <dxf>
      <numFmt numFmtId="0" formatCode="General"/>
    </dxf>
    <dxf>
      <border outline="0">
        <top style="thin">
          <color indexed="64"/>
        </top>
        <bottom style="thin">
          <color indexed="64"/>
        </bottom>
      </border>
    </dxf>
    <dxf>
      <font>
        <color rgb="FFFF0000"/>
      </font>
    </dxf>
    <dxf>
      <numFmt numFmtId="164" formatCode=";;;"/>
    </dxf>
    <dxf>
      <font>
        <color theme="2" tint="-0.499984740745262"/>
      </font>
      <fill>
        <patternFill>
          <bgColor theme="1" tint="0.499984740745262"/>
        </patternFill>
      </fill>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numFmt numFmtId="0" formatCode="General"/>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rgb="FFFFFFFF"/>
        <name val="Calibri"/>
        <family val="2"/>
        <scheme val="none"/>
      </font>
      <fill>
        <patternFill patternType="solid">
          <fgColor indexed="64"/>
          <bgColor rgb="FF1F4E79"/>
        </patternFill>
      </fill>
      <alignment horizontal="center" vertical="center" textRotation="0" wrapText="1" indent="0" justifyLastLine="0" shrinkToFit="0" readingOrder="0"/>
    </dxf>
    <dxf>
      <fill>
        <patternFill patternType="none">
          <bgColor auto="1"/>
        </patternFill>
      </fill>
    </dxf>
    <dxf>
      <fill>
        <patternFill>
          <fgColor theme="0"/>
        </patternFill>
      </fill>
    </dxf>
  </dxfs>
  <tableStyles count="1" defaultTableStyle="TableStyleMedium2" defaultPivotStyle="PivotStyleLight16">
    <tableStyle name="Tabellstil 1" pivot="0" count="2" xr9:uid="{8ACECB4B-8E0D-4379-9968-1625C18CAC05}">
      <tableStyleElement type="firstRowStripe" dxfId="78"/>
      <tableStyleElement type="secondRowStripe" dxfId="77"/>
    </tableStyle>
  </tableStyles>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ykehusinnkjop-my.sharepoint.com/sites/Divisjonlegemidler/Dokumenter%20Anskaffelser/Evalueringsmodeller/Evalueringsskjema/MASTER/TNF%20Eksempel%20Evalueringsskjema%20M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iledning"/>
      <sheetName val="Evaluering"/>
      <sheetName val="Rangering"/>
      <sheetName val="Pris ganger volum"/>
      <sheetName val="Oppslag"/>
      <sheetName val="Vektingsoppslag"/>
      <sheetName val="Miljø leverandørnivå"/>
      <sheetName val="Endringslogg"/>
    </sheetNames>
    <sheetDataSet>
      <sheetData sheetId="0"/>
      <sheetData sheetId="1"/>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Ole-Morten Munz" id="{85F68954-7FF2-4E44-AF45-A1A7FC499940}" userId="Ole-Morten Munz"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C4CC7C-66DB-402F-8C3E-9238C92815B5}" name="tabell_anskaffelsens_innhold" displayName="tabell_anskaffelsens_innhold" ref="B7:V11" totalsRowShown="0" headerRowDxfId="76" dataDxfId="74" headerRowBorderDxfId="75" tableBorderDxfId="73">
  <autoFilter ref="B7:V11" xr:uid="{1EC4CC7C-66DB-402F-8C3E-9238C92815B5}"/>
  <tableColumns count="21">
    <tableColumn id="1" xr3:uid="{D14EA8D4-7BE8-4531-B4E3-5053D74239DD}" name="Delkontrakt" dataDxfId="72"/>
    <tableColumn id="2" xr3:uid="{D859F5BC-8923-4670-910C-7318A8255630}" name="Kategori ernæring/inf skyll" dataDxfId="71"/>
    <tableColumn id="21" xr3:uid="{E7257F56-00B4-4B1C-A3A9-B4F39636D49A}" name="ATC" dataDxfId="70"/>
    <tableColumn id="20" xr3:uid="{68FAFFC2-25CA-492C-92BA-9EA08C170778}" name="Virkestoff Sykehusinnkjøp" dataDxfId="69"/>
    <tableColumn id="3" xr3:uid="{E5915946-402B-4C2C-B9C4-73C30A43A606}" name="Legemiddelformgruppe" dataDxfId="68"/>
    <tableColumn id="4" xr3:uid="{65E77A93-9220-4992-9385-243CA8DECDA3}" name="Bruksparameter Sykehusinnkjøp" dataDxfId="67"/>
    <tableColumn id="5" xr3:uid="{8F3A1D9E-83DA-458E-9864-92CD56C94846}" name="Emballasjetype Sykehusinnkjøp" dataDxfId="66"/>
    <tableColumn id="6" xr3:uid="{DDFC587F-8769-4495-9AD1-CB72B95B7D6F}" name="Parallell avtale Ja/nei" dataDxfId="65"/>
    <tableColumn id="7" xr3:uid="{560E3D84-37CF-4B73-8C8A-A4760C1723A9}" name="Begrunnelse for parallell avtale" dataDxfId="64"/>
    <tableColumn id="8" xr3:uid="{30235324-D555-462C-A0D0-430BD76D9E06}" name="Forventet lager hos grossist i Norge (B180, G2021) (inntil antall dager)" dataDxfId="63"/>
    <tableColumn id="9" xr3:uid="{7AA63B6B-B57C-476A-B11A-2D05F69611B0}" name="Kravsett for delleveranse" dataDxfId="62">
      <calculatedColumnFormula>tabell_anskaffelsens_innhold[[#This Row],[Kravsett 1]]&amp;" "&amp;tabell_anskaffelsens_innhold[[#This Row],[Kravsett 2]]&amp;" "&amp;tabell_anskaffelsens_innhold[[#This Row],[Kravsett 3]]&amp;" "&amp;tabell_anskaffelsens_innhold[[#This Row],[Kravsett 4]]&amp;" "&amp;tabell_anskaffelsens_innhold[[#This Row],[Kravsett 5]]&amp;" "&amp;tabell_anskaffelsens_innhold[[#This Row],[Kravsett 6]]&amp;" "&amp;tabell_anskaffelsens_innhold[[#This Row],[Kravsett 7]]&amp;" "&amp;tabell_anskaffelsens_innhold[[#This Row],[Kravsett 8]]&amp;" "&amp;tabell_anskaffelsens_innhold[[#This Row],[Kravsett 9]]&amp;" "&amp;tabell_anskaffelsens_innhold[[#This Row],[Kravsett 10]]</calculatedColumnFormula>
    </tableColumn>
    <tableColumn id="10" xr3:uid="{0FA3EEE6-AC8F-40FE-93B3-3B7598D19D35}" name="Kravsett 1" dataDxfId="61"/>
    <tableColumn id="11" xr3:uid="{4488F69F-926A-46E6-AF2B-81ED0E67DA25}" name="Kravsett 2" dataDxfId="60"/>
    <tableColumn id="12" xr3:uid="{E343ED8B-32F4-437F-9FC5-FC90C843446D}" name="Kravsett 3" dataDxfId="59"/>
    <tableColumn id="13" xr3:uid="{793BE926-C474-4466-81C5-B3A5C32C95E8}" name="Kravsett 4" dataDxfId="58"/>
    <tableColumn id="14" xr3:uid="{2D058A60-358A-4D03-8284-BA12545D5449}" name="Kravsett 5" dataDxfId="57"/>
    <tableColumn id="15" xr3:uid="{E63B4F8C-DEE2-4058-8E20-FB8F5200569A}" name="Kravsett 6" dataDxfId="56"/>
    <tableColumn id="16" xr3:uid="{D24C5771-136B-43F1-BFA1-FEE5DF183BBD}" name="Kravsett 7" dataDxfId="55"/>
    <tableColumn id="17" xr3:uid="{55F65BBB-B1AE-4AE3-96BD-684494F8F52B}" name="Kravsett 8" dataDxfId="54"/>
    <tableColumn id="18" xr3:uid="{AFD3863A-FF2E-4DA2-BA48-600C71FDB7E8}" name="Kravsett 9" dataDxfId="53"/>
    <tableColumn id="19" xr3:uid="{21EB531C-FB9D-4C7F-B5BB-F0AC72377D44}" name="Kravsett 10" dataDxfId="52"/>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19DF0E-649D-451C-8280-1FAEF5E4FA6D}" name="tabell_leverandorkrav" displayName="tabell_leverandorkrav" ref="B25:N29" totalsRowShown="0" tableBorderDxfId="48">
  <tableColumns count="13">
    <tableColumn id="10" xr3:uid="{0660F292-CA97-4BE9-8EC5-267883A26ECA}" name="Anskaffelse" dataDxfId="47">
      <calculatedColumnFormula>navn_Anskaffelseskode</calculatedColumnFormula>
    </tableColumn>
    <tableColumn id="11" xr3:uid="{48F149F0-049A-471B-B2C4-6FED0837BAEC}" name="Delkontrakt" dataDxfId="46">
      <calculatedColumnFormula>navn_delleveranse</calculatedColumnFormula>
    </tableColumn>
    <tableColumn id="13" xr3:uid="{58116337-50D9-4520-B1E0-86DCD71C53DB}" name="Leverandørnavn" dataDxfId="45">
      <calculatedColumnFormula>navn_leverandornavn</calculatedColumnFormula>
    </tableColumn>
    <tableColumn id="1" xr3:uid="{CE8FFAD4-64A6-4357-9FC1-DB1816C97A31}" name="Ref." dataDxfId="44"/>
    <tableColumn id="12" xr3:uid="{BAB69E23-A545-4220-8F65-77C58231B459}" name="Kravsett" dataDxfId="43"/>
    <tableColumn id="2" xr3:uid="{494CCF96-7EAD-4611-8416-25829B13AC91}" name="Overskrift for krav" dataDxfId="42"/>
    <tableColumn id="3" xr3:uid="{35586A94-A38B-4B4D-819F-9E13A6DCA83D}" name="Beskrivelse av krav" dataDxfId="41"/>
    <tableColumn id="4" xr3:uid="{DF3CE387-6449-409E-8583-0E626CFC1AB5}" name="Krav-_x000a_type" dataDxfId="40"/>
    <tableColumn id="5" xr3:uid="{A34365F2-73F5-439A-B9BB-67F01C7E4F8C}" name="Tildelingskriterier" dataDxfId="39"/>
    <tableColumn id="6" xr3:uid="{58D13B2C-B97E-498E-A910-4632CB34F2E9}" name="Utfyllende informasjon til tilbyder" dataDxfId="38"/>
    <tableColumn id="7" xr3:uid="{6767B17C-C67F-40A4-921E-29F256A606C7}" name="Velg svaralternativ i listen" dataDxfId="37"/>
    <tableColumn id="8" xr3:uid="{7B6A06C0-8530-48EB-85AA-39EC673A6491}" name="Utfyllende besvarelse" dataDxfId="36"/>
    <tableColumn id="9" xr3:uid="{605CBA6F-340E-4049-AAE3-4A563005DA18}" name="Evt. lenke eller henvisning til vedlegg" dataDxfId="35"/>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004393-9AB8-493F-9551-FF2FA302A336}" name="tabell_produktkrav_1" displayName="tabell_produktkrav_1" ref="E38:N57" totalsRowShown="0" dataDxfId="23" tableBorderDxfId="22">
  <tableColumns count="10">
    <tableColumn id="1" xr3:uid="{10E5D9BC-B014-46CA-970B-29936C9DBA80}" name="Ref." dataDxfId="21"/>
    <tableColumn id="10" xr3:uid="{8F670D5A-B57F-41DA-A595-9C8BDFA4418C}" name="Kravsett" dataDxfId="20"/>
    <tableColumn id="2" xr3:uid="{69B5C78A-56BA-4CF4-91D4-718C1850FF78}" name="Kravetikett" dataDxfId="19"/>
    <tableColumn id="3" xr3:uid="{119F4A60-C56D-4AB3-B80C-E9CAC60B78C6}" name="Beskrivelse av krav" dataDxfId="18"/>
    <tableColumn id="4" xr3:uid="{A30C8266-630F-4EB7-AD07-C02E2A060F73}" name="Krav-_x000a_type" dataDxfId="17"/>
    <tableColumn id="5" xr3:uid="{4EBCB7A6-A1F8-442C-A246-91BC0D115063}" name="Tildelingskriterier" dataDxfId="16"/>
    <tableColumn id="6" xr3:uid="{78171111-70B3-4533-9F8E-F9185AB25FF5}" name="Utfyllende informasjon til tilbyder" dataDxfId="15"/>
    <tableColumn id="7" xr3:uid="{AB0A2235-E085-470F-A17B-EF0AAB84B566}" name="Velg svaralternativ i listen hvis mulig" dataDxfId="14"/>
    <tableColumn id="8" xr3:uid="{877A3553-C192-45F7-B995-5253A03C4F89}" name="Utfyllende besvarelse" dataDxfId="13"/>
    <tableColumn id="9" xr3:uid="{1BB060FD-2FB2-4C1B-8EB6-BA242D9106A3}" name="Evt. lenke eller henvisning til vedlegg" dataDxfId="12"/>
  </tableColumns>
  <tableStyleInfo name="Tabellstil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FA8845E-4DF9-49B8-91B2-EC5A54FB61F2}" name="tabell_varenummer" displayName="tabell_varenummer" ref="E27:F32" totalsRowShown="0" headerRowDxfId="11" dataDxfId="9" headerRowBorderDxfId="10" tableBorderDxfId="8" totalsRowBorderDxfId="7">
  <tableColumns count="2">
    <tableColumn id="1" xr3:uid="{45CE1FFB-E8A2-43F0-B0B1-7A388014EB93}" name="Varenr" dataDxfId="6"/>
    <tableColumn id="2" xr3:uid="{E93718B8-9CC8-49B2-9BCE-CFEC69AC8CEA}" name="Varenavn" dataDxfId="5"/>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AF2ED-C702-487D-8739-803EA6753523}" name="tabell_lister" displayName="tabell_lister" ref="A42:AD72" totalsRowShown="0" headerRowDxfId="4">
  <autoFilter ref="A42:AD72" xr:uid="{8A6E9CFF-5150-490B-AA18-289D71A23909}"/>
  <tableColumns count="30">
    <tableColumn id="1" xr3:uid="{A453FCAF-C886-4E0A-9317-1E0D3E12B7BE}" name="Børkrav ja/nei"/>
    <tableColumn id="2" xr3:uid="{8D9A4DFA-95AD-4A4E-95E6-B080621DEDA2}" name="B180 krav"/>
    <tableColumn id="3" xr3:uid="{11CE6E6D-61AD-4CCF-A58B-823159486455}" name="Bør-Krav til lager (LP1)"/>
    <tableColumn id="4" xr3:uid="{7BC4C389-7FDD-491D-AEC9-9B597F060830}" name="Antall EU-land land med salg"/>
    <tableColumn id="5" xr3:uid="{F0E0B354-1AF3-4422-B5CF-33CF6E089788}" name="Skalkrav lager ved oppstart"/>
    <tableColumn id="6" xr3:uid="{7E0A81A7-4AE1-4499-A0C4-B18A140BAD5A}" name="Skalkrav JA"/>
    <tableColumn id="7" xr3:uid="{706FE137-57E3-4C5A-B628-43938DC6D88F}" name="Kravtype"/>
    <tableColumn id="10" xr3:uid="{95F02659-E104-4797-BA1B-87E8D8783FD6}" name="MT-land i EU/EØS"/>
    <tableColumn id="8" xr3:uid="{4AEBF696-1CF8-4C89-B364-BA9EBFF1F05A}" name="Tildelingskriterier" dataDxfId="3"/>
    <tableColumn id="9" xr3:uid="{45CF727A-7F43-4C1A-BA3B-190ADE924FC4}" name="Vektingsprosent " dataDxfId="2" dataCellStyle="Prosent"/>
    <tableColumn id="11" xr3:uid="{718C8D80-40AF-4A6F-BED8-B3CF2B5AA104}" name="Vektingsprosent alternativ 2"/>
    <tableColumn id="12" xr3:uid="{ABE6942C-6CD2-43B9-9428-A44D963447B2}" name="Vektingsprosent alternativ 3" dataDxfId="1"/>
    <tableColumn id="13" xr3:uid="{C59763D8-44ED-4267-A1F9-EC4D98ABBE4A}" name="Inneremballasjetype" dataDxfId="0"/>
    <tableColumn id="14" xr3:uid="{84BC682E-B2D9-4573-A37B-D91D17B43362}" name="Skal-Krav MT"/>
    <tableColumn id="15" xr3:uid="{67E9269E-1F66-4921-A772-39338F7DF190}" name="Miljøledelse"/>
    <tableColumn id="16" xr3:uid="{0D576DBC-5B28-47CA-A560-1A384780E8B6}" name="Pnec"/>
    <tableColumn id="17" xr3:uid="{AD630F09-3ACE-4046-BB44-785CB4B50D5A}" name="Rutine avløpsvann"/>
    <tableColumn id="18" xr3:uid="{B1D1FBB1-AB6B-4F8B-960F-0D3FF5F2C46E}" name="Rutine avfall"/>
    <tableColumn id="19" xr3:uid="{13DD1B6C-D834-4661-A4CB-0468DBE3A6E6}" name="Plass i avfall"/>
    <tableColumn id="20" xr3:uid="{B8386C6D-55DC-4DD1-90A4-199136AF4300}" name="Oppgitt land"/>
    <tableColumn id="21" xr3:uid="{87D8BAA3-8F14-4707-A143-555EE99B697D}" name="Oppbevaringsbetingelser"/>
    <tableColumn id="22" xr3:uid="{405237E6-4FE8-4CC3-9C6B-9E8DE773347D}" name="Beskyttelse mot knusing"/>
    <tableColumn id="24" xr3:uid="{F9F76EA1-1403-4399-B808-775D31755D85}" name="Tørrstoff"/>
    <tableColumn id="25" xr3:uid="{C4E7B2E5-7C31-4184-BA9A-8323B4EA366B}" name="Rekonstitusjonstrinn"/>
    <tableColumn id="26" xr3:uid="{5B748FB0-3905-4BCD-A7B9-F709DFA846E1}" name="Utblanding"/>
    <tableColumn id="27" xr3:uid="{81F4A0A7-F549-45B9-BDEC-5C4F5C66D37B}" name="Sortiment"/>
    <tableColumn id="28" xr3:uid="{5B4B45B2-B3C9-40FF-A346-8F0A154294C1}" name="Egnet for pakking"/>
    <tableColumn id="23" xr3:uid="{36E1AAAA-C8D9-4AC5-B7EE-7677400B53F5}" name="Likeverdighet Leverandør"/>
    <tableColumn id="29" xr3:uid="{711E75AA-8C0B-4850-BB01-8129AF80627F}" name="Likeverdighet produkt"/>
    <tableColumn id="30" xr3:uid="{B0F6DAF4-5E99-48A7-AB86-8486192E2AD6}" name="Egnethet pakking/robot"/>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1-06-10T13:22:42.00" personId="{85F68954-7FF2-4E44-AF45-A1A7FC499940}" id="{E9A395FD-12B0-4BD7-89E7-15C75ED3F80D}">
    <text>Sett inn sammenslått streng for typ filnavn..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A94B-5083-425B-B851-8CF460BE8B15}">
  <dimension ref="B1:B11"/>
  <sheetViews>
    <sheetView workbookViewId="0">
      <selection activeCell="B21" sqref="B21"/>
    </sheetView>
  </sheetViews>
  <sheetFormatPr baseColWidth="10" defaultColWidth="11.42578125" defaultRowHeight="15" x14ac:dyDescent="0.25"/>
  <cols>
    <col min="1" max="1" width="5.5703125" style="1" customWidth="1"/>
    <col min="2" max="2" width="56.42578125" style="1" customWidth="1"/>
    <col min="3" max="16384" width="11.42578125" style="1"/>
  </cols>
  <sheetData>
    <row r="1" spans="2:2" ht="21" x14ac:dyDescent="0.25">
      <c r="B1" s="9" t="str">
        <f>CONCATENATE(navn_Anskaffelseskode," Kravspesifikasjon ",Dokumentnummer," ", Dokumentnavn)</f>
        <v>2507gj-1 Kravspesifikasjon Bilag 3 Anagrelid</v>
      </c>
    </row>
    <row r="4" spans="2:2" ht="21" x14ac:dyDescent="0.25">
      <c r="B4" s="3" t="s">
        <v>0</v>
      </c>
    </row>
    <row r="5" spans="2:2" x14ac:dyDescent="0.25">
      <c r="B5" s="4"/>
    </row>
    <row r="6" spans="2:2" x14ac:dyDescent="0.25">
      <c r="B6" s="4" t="s">
        <v>1</v>
      </c>
    </row>
    <row r="7" spans="2:2" x14ac:dyDescent="0.25">
      <c r="B7" s="5" t="s">
        <v>2</v>
      </c>
    </row>
    <row r="8" spans="2:2" x14ac:dyDescent="0.25">
      <c r="B8" s="7" t="s">
        <v>3</v>
      </c>
    </row>
    <row r="9" spans="2:2" x14ac:dyDescent="0.25">
      <c r="B9" s="7" t="s">
        <v>4</v>
      </c>
    </row>
    <row r="10" spans="2:2" x14ac:dyDescent="0.25">
      <c r="B10" s="7" t="s">
        <v>5</v>
      </c>
    </row>
    <row r="11" spans="2:2" x14ac:dyDescent="0.25">
      <c r="B11" s="6"/>
    </row>
  </sheetData>
  <hyperlinks>
    <hyperlink ref="B7" location="'2. Forklaring til kravspes.'!A1" display="-          Forklaring til kravspesifikasjonen " xr:uid="{A1515FB0-B9C4-4C2E-9E64-0AFBE5A71F6B}"/>
    <hyperlink ref="B9" location="'4. Krav til lev.'!A1" display="-          Krav til leverandøren" xr:uid="{AF98C184-BE6C-41F0-931A-2B12D0CB4E13}"/>
    <hyperlink ref="B10" location="'5. Krav til prod.'!A1" display="-          Krav til produktene" xr:uid="{9853E44D-9E52-4FBA-BC19-E3AA24FF938E}"/>
    <hyperlink ref="B8" location="'3. Anskaffelsen'!A1" display="-          Anskaffelsens innhold" xr:uid="{95A30338-28D7-4F2C-9A2E-B4BAFF37366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3F89-B2EC-476E-B6AC-3E3A3FF9B221}">
  <dimension ref="B3:B30"/>
  <sheetViews>
    <sheetView showGridLines="0" topLeftCell="B1" workbookViewId="0">
      <selection activeCell="B6" sqref="B6"/>
    </sheetView>
  </sheetViews>
  <sheetFormatPr baseColWidth="10" defaultColWidth="11.42578125" defaultRowHeight="15" x14ac:dyDescent="0.25"/>
  <cols>
    <col min="1" max="1" width="5.5703125" style="1" customWidth="1"/>
    <col min="2" max="2" width="208.5703125" style="2" customWidth="1"/>
    <col min="3" max="16384" width="11.42578125" style="1"/>
  </cols>
  <sheetData>
    <row r="3" spans="2:2" ht="21" x14ac:dyDescent="0.25">
      <c r="B3" s="96" t="s">
        <v>6</v>
      </c>
    </row>
    <row r="4" spans="2:2" ht="14.25" customHeight="1" x14ac:dyDescent="0.25"/>
    <row r="5" spans="2:2" x14ac:dyDescent="0.25">
      <c r="B5" s="97" t="s">
        <v>7</v>
      </c>
    </row>
    <row r="6" spans="2:2" ht="30" x14ac:dyDescent="0.25">
      <c r="B6" s="97" t="s">
        <v>8</v>
      </c>
    </row>
    <row r="7" spans="2:2" x14ac:dyDescent="0.25">
      <c r="B7" s="98"/>
    </row>
    <row r="8" spans="2:2" ht="45" x14ac:dyDescent="0.25">
      <c r="B8" s="97" t="s">
        <v>9</v>
      </c>
    </row>
    <row r="9" spans="2:2" x14ac:dyDescent="0.25">
      <c r="B9" s="97"/>
    </row>
    <row r="10" spans="2:2" x14ac:dyDescent="0.25">
      <c r="B10" s="97" t="s">
        <v>10</v>
      </c>
    </row>
    <row r="11" spans="2:2" x14ac:dyDescent="0.25">
      <c r="B11" s="97"/>
    </row>
    <row r="12" spans="2:2" ht="45" x14ac:dyDescent="0.25">
      <c r="B12" s="97" t="s">
        <v>11</v>
      </c>
    </row>
    <row r="13" spans="2:2" x14ac:dyDescent="0.25">
      <c r="B13" s="97"/>
    </row>
    <row r="14" spans="2:2" x14ac:dyDescent="0.25">
      <c r="B14" s="114" t="s">
        <v>12</v>
      </c>
    </row>
    <row r="15" spans="2:2" x14ac:dyDescent="0.25">
      <c r="B15" s="97"/>
    </row>
    <row r="16" spans="2:2" x14ac:dyDescent="0.25">
      <c r="B16" s="99" t="s">
        <v>13</v>
      </c>
    </row>
    <row r="17" spans="2:2" ht="30" x14ac:dyDescent="0.25">
      <c r="B17" s="99" t="s">
        <v>14</v>
      </c>
    </row>
    <row r="18" spans="2:2" x14ac:dyDescent="0.25">
      <c r="B18" s="97"/>
    </row>
    <row r="19" spans="2:2" x14ac:dyDescent="0.25">
      <c r="B19" s="99" t="s">
        <v>15</v>
      </c>
    </row>
    <row r="20" spans="2:2" x14ac:dyDescent="0.25">
      <c r="B20" s="99"/>
    </row>
    <row r="22" spans="2:2" ht="21" x14ac:dyDescent="0.25">
      <c r="B22" s="100" t="s">
        <v>16</v>
      </c>
    </row>
    <row r="23" spans="2:2" x14ac:dyDescent="0.25">
      <c r="B23" s="44" t="s">
        <v>17</v>
      </c>
    </row>
    <row r="24" spans="2:2" ht="21" x14ac:dyDescent="0.25">
      <c r="B24" s="100" t="s">
        <v>18</v>
      </c>
    </row>
    <row r="25" spans="2:2" x14ac:dyDescent="0.25">
      <c r="B25" s="44" t="s">
        <v>19</v>
      </c>
    </row>
    <row r="29" spans="2:2" x14ac:dyDescent="0.25">
      <c r="B29" s="8"/>
    </row>
    <row r="30" spans="2:2" x14ac:dyDescent="0.25">
      <c r="B30"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69D8-8D8B-43EF-82DE-CE9C244CD5E5}">
  <dimension ref="B1:V11"/>
  <sheetViews>
    <sheetView zoomScale="60" zoomScaleNormal="60" workbookViewId="0">
      <pane xSplit="3" ySplit="7" topLeftCell="D8" activePane="bottomRight" state="frozen"/>
      <selection pane="topRight" activeCell="D1" sqref="D1"/>
      <selection pane="bottomLeft" activeCell="A8" sqref="A8"/>
      <selection pane="bottomRight" activeCell="A12" sqref="A12"/>
    </sheetView>
  </sheetViews>
  <sheetFormatPr baseColWidth="10" defaultColWidth="11.42578125" defaultRowHeight="15" x14ac:dyDescent="0.25"/>
  <cols>
    <col min="1" max="1" width="5.5703125" style="1" customWidth="1"/>
    <col min="2" max="2" width="16.5703125" style="1" customWidth="1"/>
    <col min="3" max="3" width="20.5703125" style="1" hidden="1" customWidth="1"/>
    <col min="4" max="4" width="20.5703125" style="1" customWidth="1"/>
    <col min="5" max="5" width="22.28515625" style="1" customWidth="1"/>
    <col min="6" max="6" width="26.42578125" style="1" bestFit="1" customWidth="1"/>
    <col min="7" max="7" width="24.85546875" style="1" customWidth="1"/>
    <col min="8" max="8" width="31.5703125" style="1" customWidth="1"/>
    <col min="9" max="9" width="22.5703125" style="1" customWidth="1"/>
    <col min="10" max="10" width="32" style="1" customWidth="1"/>
    <col min="11" max="11" width="39.42578125" style="1" hidden="1" customWidth="1"/>
    <col min="12" max="12" width="32.42578125" style="1" hidden="1" customWidth="1"/>
    <col min="13" max="20" width="19.5703125" style="1" customWidth="1"/>
    <col min="21" max="22" width="19.5703125" style="1" hidden="1" customWidth="1"/>
    <col min="23" max="16384" width="11.42578125" style="1"/>
  </cols>
  <sheetData>
    <row r="1" spans="2:22" ht="21.75" customHeight="1" x14ac:dyDescent="0.25"/>
    <row r="2" spans="2:22" ht="21.75" customHeight="1" x14ac:dyDescent="0.25"/>
    <row r="3" spans="2:22" ht="33" customHeight="1" x14ac:dyDescent="0.25">
      <c r="B3" s="3" t="s">
        <v>20</v>
      </c>
      <c r="C3" s="3"/>
      <c r="D3" s="3"/>
      <c r="E3" s="3"/>
      <c r="F3" s="3"/>
      <c r="G3" s="6"/>
      <c r="H3" s="6"/>
      <c r="I3" s="6"/>
      <c r="J3" s="6"/>
      <c r="K3" s="6"/>
      <c r="L3" s="6"/>
      <c r="M3" s="6"/>
      <c r="N3" s="6"/>
      <c r="O3" s="6"/>
      <c r="P3" s="6"/>
      <c r="Q3" s="6"/>
      <c r="R3" s="6"/>
      <c r="S3" s="6"/>
      <c r="T3" s="6"/>
      <c r="U3" s="6"/>
      <c r="V3" s="6"/>
    </row>
    <row r="4" spans="2:22" ht="15" customHeight="1" x14ac:dyDescent="0.25">
      <c r="B4" s="3"/>
      <c r="C4" s="3"/>
      <c r="D4" s="3"/>
      <c r="E4" s="3"/>
      <c r="F4" s="3"/>
      <c r="G4" s="6"/>
      <c r="H4" s="6"/>
      <c r="I4" s="6"/>
      <c r="J4" s="6"/>
      <c r="K4" s="6"/>
      <c r="L4" s="6"/>
      <c r="M4" s="6"/>
      <c r="N4" s="6"/>
      <c r="O4" s="6"/>
      <c r="P4" s="6"/>
      <c r="Q4" s="6"/>
      <c r="R4" s="6"/>
      <c r="S4" s="6"/>
      <c r="T4" s="6"/>
      <c r="U4" s="6"/>
      <c r="V4" s="6"/>
    </row>
    <row r="5" spans="2:22" ht="27.75" customHeight="1" x14ac:dyDescent="0.25">
      <c r="B5" s="4" t="s">
        <v>21</v>
      </c>
      <c r="C5" s="4"/>
      <c r="D5" s="4"/>
      <c r="E5" s="4"/>
      <c r="F5" s="4"/>
      <c r="G5" s="6"/>
      <c r="H5" s="6"/>
      <c r="I5" s="6"/>
      <c r="J5" s="6"/>
      <c r="K5" s="6"/>
      <c r="L5" s="6"/>
      <c r="M5" s="6"/>
      <c r="N5" s="6"/>
      <c r="O5" s="6"/>
      <c r="P5" s="6"/>
      <c r="Q5" s="6"/>
      <c r="R5" s="6"/>
      <c r="S5" s="6"/>
      <c r="T5" s="6"/>
      <c r="U5" s="6"/>
      <c r="V5" s="6"/>
    </row>
    <row r="6" spans="2:22" ht="18" customHeight="1" x14ac:dyDescent="0.25">
      <c r="B6" s="17" t="str">
        <f>CONCATENATE(navn_Anskaffelseskode," ",Dokumentnavn," ",Dokumentnummer," ",navn_Navn_på_kravspesifikasjon)</f>
        <v xml:space="preserve">2507gj-1 Anagrelid Bilag 3 </v>
      </c>
      <c r="C6" s="4"/>
      <c r="D6" s="4"/>
      <c r="E6" s="4"/>
      <c r="F6" s="19"/>
      <c r="G6" s="6"/>
      <c r="H6" s="6"/>
      <c r="I6" s="6"/>
      <c r="J6" s="6"/>
      <c r="K6" s="6"/>
      <c r="L6" s="6" t="s">
        <v>22</v>
      </c>
      <c r="M6" s="145" t="s">
        <v>23</v>
      </c>
      <c r="N6" s="145"/>
      <c r="O6" s="145"/>
      <c r="P6" s="145"/>
      <c r="Q6" s="145"/>
      <c r="R6" s="145"/>
      <c r="S6" s="145"/>
      <c r="T6" s="145"/>
      <c r="U6" s="145"/>
      <c r="V6" s="145"/>
    </row>
    <row r="7" spans="2:22" ht="60" customHeight="1" thickBot="1" x14ac:dyDescent="0.3">
      <c r="B7" s="20" t="s">
        <v>24</v>
      </c>
      <c r="C7" s="20" t="s">
        <v>25</v>
      </c>
      <c r="D7" s="22" t="s">
        <v>26</v>
      </c>
      <c r="E7" s="20" t="s">
        <v>27</v>
      </c>
      <c r="F7" s="21" t="s">
        <v>28</v>
      </c>
      <c r="G7" s="20" t="s">
        <v>29</v>
      </c>
      <c r="H7" s="20" t="s">
        <v>30</v>
      </c>
      <c r="I7" s="20" t="s">
        <v>31</v>
      </c>
      <c r="J7" s="20" t="s">
        <v>32</v>
      </c>
      <c r="K7" s="20" t="s">
        <v>33</v>
      </c>
      <c r="L7" s="22" t="s">
        <v>34</v>
      </c>
      <c r="M7" s="107" t="s">
        <v>35</v>
      </c>
      <c r="N7" s="22" t="s">
        <v>36</v>
      </c>
      <c r="O7" s="22" t="s">
        <v>37</v>
      </c>
      <c r="P7" s="22" t="s">
        <v>38</v>
      </c>
      <c r="Q7" s="22" t="s">
        <v>39</v>
      </c>
      <c r="R7" s="22" t="s">
        <v>40</v>
      </c>
      <c r="S7" s="22" t="s">
        <v>41</v>
      </c>
      <c r="T7" s="22" t="s">
        <v>42</v>
      </c>
      <c r="U7" s="22" t="s">
        <v>43</v>
      </c>
      <c r="V7" s="22" t="s">
        <v>44</v>
      </c>
    </row>
    <row r="8" spans="2:22" ht="39.75" customHeight="1" thickBot="1" x14ac:dyDescent="0.3">
      <c r="B8" s="76">
        <v>1</v>
      </c>
      <c r="C8" s="76"/>
      <c r="D8" s="76" t="s">
        <v>363</v>
      </c>
      <c r="E8" s="76" t="s">
        <v>362</v>
      </c>
      <c r="F8" s="76" t="s">
        <v>49</v>
      </c>
      <c r="G8" s="76" t="s">
        <v>46</v>
      </c>
      <c r="H8" s="76" t="s">
        <v>46</v>
      </c>
      <c r="I8" s="76" t="s">
        <v>280</v>
      </c>
      <c r="J8" s="76"/>
      <c r="K8" s="76"/>
      <c r="L8" s="76" t="str">
        <f>tabell_anskaffelsens_innhold[[#This Row],[Kravsett 1]]&amp;" "&amp;tabell_anskaffelsens_innhold[[#This Row],[Kravsett 2]]&amp;" "&amp;tabell_anskaffelsens_innhold[[#This Row],[Kravsett 3]]&amp;" "&amp;tabell_anskaffelsens_innhold[[#This Row],[Kravsett 4]]&amp;" "&amp;tabell_anskaffelsens_innhold[[#This Row],[Kravsett 5]]&amp;" "&amp;tabell_anskaffelsens_innhold[[#This Row],[Kravsett 6]]&amp;" "&amp;tabell_anskaffelsens_innhold[[#This Row],[Kravsett 7]]&amp;" "&amp;tabell_anskaffelsens_innhold[[#This Row],[Kravsett 8]]&amp;" "&amp;tabell_anskaffelsens_innhold[[#This Row],[Kravsett 9]]&amp;" "&amp;tabell_anskaffelsens_innhold[[#This Row],[Kravsett 10]]</f>
        <v xml:space="preserve">Generelle Miljø Tablett/kapsel       </v>
      </c>
      <c r="M8" s="76" t="s">
        <v>48</v>
      </c>
      <c r="N8" s="76" t="s">
        <v>366</v>
      </c>
      <c r="O8" s="76" t="s">
        <v>49</v>
      </c>
      <c r="P8" s="76"/>
      <c r="Q8" s="76"/>
      <c r="R8" s="76"/>
      <c r="S8" s="76"/>
      <c r="T8" s="76"/>
      <c r="U8" s="76"/>
      <c r="V8" s="76"/>
    </row>
    <row r="9" spans="2:22" ht="15.75" thickBot="1" x14ac:dyDescent="0.3">
      <c r="B9" s="141"/>
      <c r="C9" s="141"/>
      <c r="D9" s="141"/>
      <c r="E9" s="141"/>
      <c r="F9" s="141"/>
      <c r="G9" s="141"/>
      <c r="H9" s="141"/>
      <c r="I9" s="141"/>
      <c r="J9" s="141"/>
      <c r="K9" s="141"/>
      <c r="L9" s="141" t="str">
        <f>tabell_anskaffelsens_innhold[[#This Row],[Kravsett 1]]&amp;" "&amp;tabell_anskaffelsens_innhold[[#This Row],[Kravsett 2]]&amp;" "&amp;tabell_anskaffelsens_innhold[[#This Row],[Kravsett 3]]&amp;" "&amp;tabell_anskaffelsens_innhold[[#This Row],[Kravsett 4]]&amp;" "&amp;tabell_anskaffelsens_innhold[[#This Row],[Kravsett 5]]&amp;" "&amp;tabell_anskaffelsens_innhold[[#This Row],[Kravsett 6]]&amp;" "&amp;tabell_anskaffelsens_innhold[[#This Row],[Kravsett 7]]&amp;" "&amp;tabell_anskaffelsens_innhold[[#This Row],[Kravsett 8]]&amp;" "&amp;tabell_anskaffelsens_innhold[[#This Row],[Kravsett 9]]&amp;" "&amp;tabell_anskaffelsens_innhold[[#This Row],[Kravsett 10]]</f>
        <v xml:space="preserve">         </v>
      </c>
      <c r="M9" s="141"/>
      <c r="N9" s="141"/>
      <c r="O9" s="141"/>
      <c r="P9" s="141"/>
      <c r="Q9" s="141"/>
      <c r="R9" s="141"/>
      <c r="S9" s="141"/>
      <c r="T9" s="141"/>
      <c r="U9" s="141"/>
      <c r="V9" s="141"/>
    </row>
    <row r="10" spans="2:22" ht="15.75" thickBot="1" x14ac:dyDescent="0.3">
      <c r="B10" s="141"/>
      <c r="C10" s="141"/>
      <c r="D10" s="141"/>
      <c r="E10" s="141"/>
      <c r="F10" s="141"/>
      <c r="G10" s="141"/>
      <c r="H10" s="141"/>
      <c r="I10" s="141"/>
      <c r="J10" s="141"/>
      <c r="K10" s="141"/>
      <c r="L10" s="141" t="str">
        <f>tabell_anskaffelsens_innhold[[#This Row],[Kravsett 1]]&amp;" "&amp;tabell_anskaffelsens_innhold[[#This Row],[Kravsett 2]]&amp;" "&amp;tabell_anskaffelsens_innhold[[#This Row],[Kravsett 3]]&amp;" "&amp;tabell_anskaffelsens_innhold[[#This Row],[Kravsett 4]]&amp;" "&amp;tabell_anskaffelsens_innhold[[#This Row],[Kravsett 5]]&amp;" "&amp;tabell_anskaffelsens_innhold[[#This Row],[Kravsett 6]]&amp;" "&amp;tabell_anskaffelsens_innhold[[#This Row],[Kravsett 7]]&amp;" "&amp;tabell_anskaffelsens_innhold[[#This Row],[Kravsett 8]]&amp;" "&amp;tabell_anskaffelsens_innhold[[#This Row],[Kravsett 9]]&amp;" "&amp;tabell_anskaffelsens_innhold[[#This Row],[Kravsett 10]]</f>
        <v xml:space="preserve">         </v>
      </c>
      <c r="M10" s="141"/>
      <c r="N10" s="141"/>
      <c r="O10" s="141"/>
      <c r="P10" s="141"/>
      <c r="Q10" s="141"/>
      <c r="R10" s="141"/>
      <c r="S10" s="141"/>
      <c r="T10" s="141"/>
      <c r="U10" s="141"/>
      <c r="V10" s="141"/>
    </row>
    <row r="11" spans="2:22" x14ac:dyDescent="0.25">
      <c r="B11" s="141"/>
      <c r="C11" s="141"/>
      <c r="D11" s="141"/>
      <c r="E11" s="141"/>
      <c r="F11" s="141"/>
      <c r="G11" s="141"/>
      <c r="H11" s="141"/>
      <c r="I11" s="141"/>
      <c r="J11" s="141"/>
      <c r="K11" s="141"/>
      <c r="L11" s="141" t="str">
        <f>tabell_anskaffelsens_innhold[[#This Row],[Kravsett 1]]&amp;" "&amp;tabell_anskaffelsens_innhold[[#This Row],[Kravsett 2]]&amp;" "&amp;tabell_anskaffelsens_innhold[[#This Row],[Kravsett 3]]&amp;" "&amp;tabell_anskaffelsens_innhold[[#This Row],[Kravsett 4]]&amp;" "&amp;tabell_anskaffelsens_innhold[[#This Row],[Kravsett 5]]&amp;" "&amp;tabell_anskaffelsens_innhold[[#This Row],[Kravsett 6]]&amp;" "&amp;tabell_anskaffelsens_innhold[[#This Row],[Kravsett 7]]&amp;" "&amp;tabell_anskaffelsens_innhold[[#This Row],[Kravsett 8]]&amp;" "&amp;tabell_anskaffelsens_innhold[[#This Row],[Kravsett 9]]&amp;" "&amp;tabell_anskaffelsens_innhold[[#This Row],[Kravsett 10]]</f>
        <v xml:space="preserve">         </v>
      </c>
      <c r="M11" s="141"/>
      <c r="N11" s="141"/>
      <c r="O11" s="141"/>
      <c r="P11" s="141"/>
      <c r="Q11" s="141"/>
      <c r="R11" s="141"/>
      <c r="S11" s="141"/>
      <c r="T11" s="141"/>
      <c r="U11" s="141"/>
      <c r="V11" s="141"/>
    </row>
  </sheetData>
  <sheetProtection formatColumns="0" formatRows="0"/>
  <mergeCells count="3">
    <mergeCell ref="M6:P6"/>
    <mergeCell ref="Q6:T6"/>
    <mergeCell ref="U6:V6"/>
  </mergeCells>
  <phoneticPr fontId="24" type="noConversion"/>
  <pageMargins left="0.7" right="0.7" top="0.75" bottom="0.75" header="0.3" footer="0.3"/>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3A4DBEDE-FCF5-41C0-84B6-65811CF3058A}">
          <x14:formula1>
            <xm:f>Lister!$A$76:$A$100</xm:f>
          </x14:formula1>
          <xm:sqref>S9:T11 N9:Q11 N8:P8 R8:T8 M8:M11 U8:V11</xm:sqref>
        </x14:dataValidation>
        <x14:dataValidation type="list" allowBlank="1" showInputMessage="1" showErrorMessage="1" xr:uid="{83F668E5-7567-4B8F-B203-33C4BE5127BA}">
          <x14:formula1>
            <xm:f>Lister!$A$76:$A$103</xm:f>
          </x14:formula1>
          <xm:sqref>Q8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EF8D-FFCD-4E43-A44D-774FCF13411B}">
  <dimension ref="B3:N487"/>
  <sheetViews>
    <sheetView tabSelected="1" zoomScale="70" zoomScaleNormal="70" workbookViewId="0">
      <selection activeCell="L29" sqref="L29"/>
    </sheetView>
  </sheetViews>
  <sheetFormatPr baseColWidth="10" defaultColWidth="11.42578125" defaultRowHeight="15" x14ac:dyDescent="0.25"/>
  <cols>
    <col min="1" max="1" width="11.42578125" style="8"/>
    <col min="2" max="2" width="11.42578125" style="8" hidden="1" customWidth="1"/>
    <col min="3" max="4" width="5.5703125" style="8" hidden="1" customWidth="1"/>
    <col min="5" max="5" width="8" style="8" customWidth="1"/>
    <col min="6" max="6" width="19.140625" style="8" customWidth="1"/>
    <col min="7" max="7" width="42.5703125" style="8" customWidth="1"/>
    <col min="8" max="8" width="85.140625" style="8" customWidth="1"/>
    <col min="9" max="9" width="16.85546875" style="8" customWidth="1"/>
    <col min="10" max="10" width="27.42578125" style="8" customWidth="1"/>
    <col min="11" max="11" width="38.42578125" style="8" customWidth="1"/>
    <col min="12" max="12" width="63" style="8" customWidth="1"/>
    <col min="13" max="13" width="36.42578125" style="8" customWidth="1"/>
    <col min="14" max="14" width="29.5703125" style="8" customWidth="1"/>
    <col min="15" max="16384" width="11.42578125" style="8"/>
  </cols>
  <sheetData>
    <row r="3" spans="5:13" ht="21" x14ac:dyDescent="0.25">
      <c r="E3" s="9" t="str">
        <f>CONCATENATE(navn_Anskaffelseskode," ",Dokumentnummer," Kravspesifikasjon ", Dokumentnavn)</f>
        <v>2507gj-1 Bilag 3 Kravspesifikasjon Anagrelid</v>
      </c>
    </row>
    <row r="4" spans="5:13" ht="15.75" customHeight="1" x14ac:dyDescent="0.25">
      <c r="E4" s="9"/>
    </row>
    <row r="5" spans="5:13" ht="21" x14ac:dyDescent="0.25">
      <c r="E5" s="9" t="s">
        <v>370</v>
      </c>
      <c r="F5" s="9"/>
    </row>
    <row r="6" spans="5:13" s="14" customFormat="1" ht="33" customHeight="1" x14ac:dyDescent="0.25">
      <c r="E6" s="56" t="s">
        <v>51</v>
      </c>
      <c r="F6" s="56"/>
      <c r="G6" s="57"/>
      <c r="H6" s="58"/>
      <c r="I6" s="58"/>
      <c r="J6" s="58"/>
      <c r="K6" s="58"/>
      <c r="L6" s="58"/>
      <c r="M6" s="58"/>
    </row>
    <row r="7" spans="5:13" ht="33" customHeight="1" x14ac:dyDescent="0.25">
      <c r="E7" s="146" t="s">
        <v>52</v>
      </c>
      <c r="F7" s="146"/>
      <c r="G7" s="146"/>
      <c r="H7" s="59" t="s">
        <v>367</v>
      </c>
      <c r="K7" s="60"/>
      <c r="L7" s="60"/>
      <c r="M7" s="60"/>
    </row>
    <row r="8" spans="5:13" ht="14.85" customHeight="1" x14ac:dyDescent="0.25">
      <c r="E8" s="147" t="str">
        <f>Lister!I43</f>
        <v>Pris (P)</v>
      </c>
      <c r="F8" s="148"/>
      <c r="G8" s="149"/>
      <c r="H8" s="15">
        <f>Lister!J43</f>
        <v>0.5</v>
      </c>
      <c r="K8" s="61"/>
      <c r="L8" s="60"/>
      <c r="M8" s="60"/>
    </row>
    <row r="9" spans="5:13" ht="14.85" customHeight="1" x14ac:dyDescent="0.25">
      <c r="E9" s="150" t="str">
        <f>Lister!I44</f>
        <v>Brukervennlighet, pakninger og produktspekter (PP)</v>
      </c>
      <c r="F9" s="151"/>
      <c r="G9" s="152"/>
      <c r="H9" s="41">
        <f>Lister!J44</f>
        <v>0.05</v>
      </c>
      <c r="K9" s="60"/>
      <c r="L9" s="60"/>
      <c r="M9" s="60"/>
    </row>
    <row r="10" spans="5:13" ht="14.85" customHeight="1" x14ac:dyDescent="0.25">
      <c r="E10" s="153" t="str">
        <f>Lister!I45</f>
        <v>Leveringssikkerhet: Lager (LP1)</v>
      </c>
      <c r="F10" s="154"/>
      <c r="G10" s="155"/>
      <c r="H10" s="16">
        <f>Lister!J45</f>
        <v>0.12</v>
      </c>
      <c r="K10" s="60"/>
      <c r="L10" s="60"/>
      <c r="M10" s="60"/>
    </row>
    <row r="11" spans="5:13" ht="14.85" customHeight="1" x14ac:dyDescent="0.25">
      <c r="E11" s="153" t="str">
        <f>Lister!I46</f>
        <v>Leveringssikkerhet: Land (LP2)</v>
      </c>
      <c r="F11" s="154"/>
      <c r="G11" s="155"/>
      <c r="H11" s="16">
        <f>Lister!J46</f>
        <v>0.03</v>
      </c>
      <c r="K11" s="60"/>
      <c r="L11" s="60"/>
      <c r="M11" s="60"/>
    </row>
    <row r="12" spans="5:13" ht="14.85" customHeight="1" x14ac:dyDescent="0.25">
      <c r="E12" s="158" t="str">
        <f>Lister!I47</f>
        <v xml:space="preserve">Miljø på leverandørnivå (ML1) </v>
      </c>
      <c r="F12" s="159"/>
      <c r="G12" s="160"/>
      <c r="H12" s="42">
        <f>Lister!J47</f>
        <v>0.2</v>
      </c>
      <c r="K12" s="60"/>
      <c r="L12" s="60"/>
      <c r="M12" s="60"/>
    </row>
    <row r="13" spans="5:13" ht="14.85" customHeight="1" x14ac:dyDescent="0.25">
      <c r="E13" s="161" t="str">
        <f>Lister!I48</f>
        <v>Miljø på produktnivå (MP1)</v>
      </c>
      <c r="F13" s="162"/>
      <c r="G13" s="163"/>
      <c r="H13" s="43">
        <f>Lister!J48</f>
        <v>0.1</v>
      </c>
      <c r="K13" s="60"/>
      <c r="L13" s="60"/>
      <c r="M13" s="60"/>
    </row>
    <row r="14" spans="5:13" ht="14.85" hidden="1" customHeight="1" x14ac:dyDescent="0.25">
      <c r="E14" s="150" t="str">
        <f>Lister!I49</f>
        <v>Pakninger og produktspekter (PP)</v>
      </c>
      <c r="F14" s="151"/>
      <c r="G14" s="152"/>
      <c r="H14" s="41">
        <f>Lister!J49</f>
        <v>0</v>
      </c>
      <c r="I14" s="41">
        <f>Lister!K49</f>
        <v>0</v>
      </c>
      <c r="J14" s="41">
        <f>Lister!L49</f>
        <v>0</v>
      </c>
      <c r="K14" s="60"/>
      <c r="L14" s="60"/>
      <c r="M14" s="60"/>
    </row>
    <row r="15" spans="5:13" x14ac:dyDescent="0.25">
      <c r="E15" s="60"/>
      <c r="F15" s="60"/>
      <c r="G15" s="60"/>
      <c r="H15" s="75" t="s">
        <v>53</v>
      </c>
      <c r="I15" s="60"/>
      <c r="J15" s="60"/>
      <c r="K15" s="60"/>
      <c r="L15" s="60"/>
      <c r="M15" s="60"/>
    </row>
    <row r="16" spans="5:13" ht="15.75" x14ac:dyDescent="0.25">
      <c r="E16" s="62" t="s">
        <v>54</v>
      </c>
      <c r="F16" s="62"/>
      <c r="G16" s="60"/>
      <c r="H16" s="60"/>
      <c r="I16" s="60"/>
      <c r="J16" s="60"/>
      <c r="K16" s="60"/>
      <c r="L16" s="60"/>
      <c r="M16" s="60"/>
    </row>
    <row r="17" spans="2:14" ht="15.75" thickBot="1" x14ac:dyDescent="0.3">
      <c r="E17" s="60"/>
      <c r="F17" s="60"/>
      <c r="G17" s="60"/>
      <c r="H17" s="60"/>
      <c r="I17" s="60"/>
      <c r="J17" s="60"/>
      <c r="K17" s="60"/>
      <c r="L17" s="60"/>
      <c r="M17" s="60"/>
    </row>
    <row r="18" spans="2:14" ht="15" customHeight="1" x14ac:dyDescent="0.25">
      <c r="E18" s="172" t="s">
        <v>55</v>
      </c>
      <c r="F18" s="173"/>
      <c r="G18" s="173"/>
      <c r="H18" s="174"/>
      <c r="I18" s="175"/>
      <c r="J18" s="176"/>
      <c r="K18" s="60"/>
      <c r="L18" s="60"/>
      <c r="M18" s="60"/>
    </row>
    <row r="19" spans="2:14" ht="15" customHeight="1" x14ac:dyDescent="0.25">
      <c r="E19" s="156" t="s">
        <v>56</v>
      </c>
      <c r="F19" s="157"/>
      <c r="G19" s="157"/>
      <c r="H19" s="167"/>
      <c r="I19" s="168"/>
      <c r="J19" s="169"/>
      <c r="K19" s="60"/>
      <c r="L19" s="60"/>
      <c r="M19" s="60"/>
    </row>
    <row r="20" spans="2:14" ht="15" customHeight="1" x14ac:dyDescent="0.25">
      <c r="E20" s="156" t="s">
        <v>57</v>
      </c>
      <c r="F20" s="157"/>
      <c r="G20" s="157"/>
      <c r="H20" s="167"/>
      <c r="I20" s="168"/>
      <c r="J20" s="169"/>
      <c r="K20" s="60"/>
      <c r="L20" s="60"/>
      <c r="M20" s="60"/>
    </row>
    <row r="21" spans="2:14" ht="15" customHeight="1" x14ac:dyDescent="0.25">
      <c r="E21" s="156" t="s">
        <v>58</v>
      </c>
      <c r="F21" s="157"/>
      <c r="G21" s="157"/>
      <c r="H21" s="167"/>
      <c r="I21" s="168"/>
      <c r="J21" s="169"/>
      <c r="K21" s="60"/>
      <c r="L21" s="60"/>
      <c r="M21" s="60"/>
    </row>
    <row r="22" spans="2:14" ht="15.75" customHeight="1" thickBot="1" x14ac:dyDescent="0.3">
      <c r="E22" s="177" t="s">
        <v>59</v>
      </c>
      <c r="F22" s="178"/>
      <c r="G22" s="178"/>
      <c r="H22" s="179"/>
      <c r="I22" s="180"/>
      <c r="J22" s="181"/>
      <c r="K22" s="60"/>
      <c r="L22" s="60"/>
      <c r="M22" s="60"/>
    </row>
    <row r="23" spans="2:14" ht="21.75" thickBot="1" x14ac:dyDescent="0.3">
      <c r="E23" s="63"/>
      <c r="F23" s="63"/>
      <c r="G23" s="60"/>
      <c r="H23" s="60"/>
      <c r="I23" s="60"/>
      <c r="J23" s="60"/>
      <c r="K23" s="60"/>
      <c r="L23" s="60"/>
      <c r="M23" s="60"/>
    </row>
    <row r="24" spans="2:14" ht="15.75" customHeight="1" x14ac:dyDescent="0.25">
      <c r="E24" s="170" t="s">
        <v>60</v>
      </c>
      <c r="F24" s="171"/>
      <c r="G24" s="171"/>
      <c r="H24" s="171"/>
      <c r="I24" s="171"/>
      <c r="J24" s="171"/>
      <c r="K24" s="164" t="s">
        <v>61</v>
      </c>
      <c r="L24" s="165"/>
      <c r="M24" s="165"/>
      <c r="N24" s="166"/>
    </row>
    <row r="25" spans="2:14" ht="30" x14ac:dyDescent="0.25">
      <c r="B25" s="8" t="s">
        <v>62</v>
      </c>
      <c r="C25" s="8" t="s">
        <v>24</v>
      </c>
      <c r="D25" s="8" t="s">
        <v>63</v>
      </c>
      <c r="E25" s="95" t="s">
        <v>64</v>
      </c>
      <c r="F25" s="93" t="s">
        <v>65</v>
      </c>
      <c r="G25" s="94" t="s">
        <v>66</v>
      </c>
      <c r="H25" s="93" t="s">
        <v>67</v>
      </c>
      <c r="I25" s="94" t="s">
        <v>68</v>
      </c>
      <c r="J25" s="94" t="s">
        <v>69</v>
      </c>
      <c r="K25" s="93" t="s">
        <v>70</v>
      </c>
      <c r="L25" s="104" t="s">
        <v>71</v>
      </c>
      <c r="M25" s="104" t="s">
        <v>72</v>
      </c>
      <c r="N25" s="104" t="s">
        <v>73</v>
      </c>
    </row>
    <row r="26" spans="2:14" s="10" customFormat="1" ht="129.75" customHeight="1" x14ac:dyDescent="0.25">
      <c r="B26" s="10" t="s">
        <v>74</v>
      </c>
      <c r="C26" s="10">
        <v>0</v>
      </c>
      <c r="D26" s="10">
        <v>0</v>
      </c>
      <c r="E26" s="64" t="s">
        <v>75</v>
      </c>
      <c r="F26" s="64" t="s">
        <v>48</v>
      </c>
      <c r="G26" s="64" t="s">
        <v>76</v>
      </c>
      <c r="H26" s="68" t="s">
        <v>77</v>
      </c>
      <c r="I26" s="65" t="s">
        <v>78</v>
      </c>
      <c r="J26" s="66"/>
      <c r="K26" s="68" t="s">
        <v>79</v>
      </c>
      <c r="L26" s="69"/>
      <c r="M26" s="67"/>
      <c r="N26" s="122"/>
    </row>
    <row r="27" spans="2:14" s="10" customFormat="1" ht="129.75" customHeight="1" x14ac:dyDescent="0.25">
      <c r="B27" s="10" t="str">
        <f t="shared" ref="B27" si="0">navn_Anskaffelseskode</f>
        <v>2507gj-1</v>
      </c>
      <c r="C27" s="10">
        <f t="shared" ref="C27" si="1">navn_delleveranse</f>
        <v>1</v>
      </c>
      <c r="D27" s="10">
        <f>navn_leverandornavn</f>
        <v>0</v>
      </c>
      <c r="E27" s="64" t="s">
        <v>80</v>
      </c>
      <c r="F27" s="64" t="s">
        <v>48</v>
      </c>
      <c r="G27" s="64" t="s">
        <v>76</v>
      </c>
      <c r="H27" s="68" t="s">
        <v>81</v>
      </c>
      <c r="I27" s="65" t="s">
        <v>78</v>
      </c>
      <c r="J27" s="66"/>
      <c r="K27" s="68" t="s">
        <v>82</v>
      </c>
      <c r="L27" s="69"/>
      <c r="M27" s="67"/>
      <c r="N27" s="122"/>
    </row>
    <row r="28" spans="2:14" s="10" customFormat="1" ht="330.95" customHeight="1" x14ac:dyDescent="0.25">
      <c r="B28" s="10" t="str">
        <f>navn_Anskaffelseskode</f>
        <v>2507gj-1</v>
      </c>
      <c r="C28" s="10">
        <f>navn_delleveranse</f>
        <v>1</v>
      </c>
      <c r="D28" s="10">
        <f>navn_leverandornavn</f>
        <v>0</v>
      </c>
      <c r="E28" s="123" t="s">
        <v>83</v>
      </c>
      <c r="F28" s="123" t="s">
        <v>48</v>
      </c>
      <c r="G28" s="123" t="s">
        <v>86</v>
      </c>
      <c r="H28" s="124" t="s">
        <v>87</v>
      </c>
      <c r="I28" s="123" t="s">
        <v>88</v>
      </c>
      <c r="J28" s="123" t="s">
        <v>89</v>
      </c>
      <c r="K28" s="125" t="s">
        <v>90</v>
      </c>
      <c r="L28" s="126"/>
      <c r="M28" s="127"/>
      <c r="N28" s="128"/>
    </row>
    <row r="29" spans="2:14" ht="240" customHeight="1" x14ac:dyDescent="0.25">
      <c r="B29" s="8" t="str">
        <f>navn_Anskaffelseskode</f>
        <v>2507gj-1</v>
      </c>
      <c r="C29" s="8">
        <f>navn_delleveranse</f>
        <v>1</v>
      </c>
      <c r="D29" s="8">
        <f>navn_leverandornavn</f>
        <v>0</v>
      </c>
      <c r="E29" s="123" t="s">
        <v>85</v>
      </c>
      <c r="F29" s="123" t="s">
        <v>48</v>
      </c>
      <c r="G29" s="123" t="s">
        <v>86</v>
      </c>
      <c r="H29" s="129" t="s">
        <v>91</v>
      </c>
      <c r="I29" s="130" t="s">
        <v>88</v>
      </c>
      <c r="J29" s="130" t="s">
        <v>89</v>
      </c>
      <c r="K29" s="131" t="s">
        <v>90</v>
      </c>
      <c r="L29" s="126"/>
      <c r="M29" s="132"/>
      <c r="N29" s="133"/>
    </row>
    <row r="30" spans="2:14" x14ac:dyDescent="0.25">
      <c r="E30" s="60"/>
      <c r="F30" s="60"/>
      <c r="G30" s="60"/>
      <c r="H30" s="60"/>
      <c r="I30" s="60"/>
      <c r="J30" s="60"/>
      <c r="K30" s="60"/>
      <c r="L30" s="60"/>
      <c r="M30" s="60"/>
    </row>
    <row r="31" spans="2:14" x14ac:dyDescent="0.25">
      <c r="E31" s="60"/>
      <c r="F31" s="60"/>
      <c r="G31" s="60"/>
      <c r="H31" s="60"/>
      <c r="I31" s="60"/>
      <c r="J31" s="60"/>
      <c r="K31" s="60"/>
      <c r="L31" s="60"/>
      <c r="M31" s="60"/>
    </row>
    <row r="32" spans="2:14" x14ac:dyDescent="0.25">
      <c r="E32" s="60"/>
      <c r="F32" s="60"/>
      <c r="G32" s="70"/>
      <c r="H32" s="60"/>
      <c r="I32" s="60"/>
      <c r="J32" s="60"/>
      <c r="K32" s="60"/>
      <c r="L32" s="60"/>
      <c r="M32" s="60"/>
    </row>
    <row r="33" spans="5:13" x14ac:dyDescent="0.25">
      <c r="E33" s="60"/>
      <c r="F33" s="60"/>
      <c r="G33" s="60"/>
      <c r="H33" s="60"/>
      <c r="I33" s="60"/>
      <c r="J33" s="60"/>
      <c r="K33" s="60"/>
      <c r="L33" s="60"/>
      <c r="M33" s="60"/>
    </row>
    <row r="34" spans="5:13" x14ac:dyDescent="0.25">
      <c r="E34" s="60"/>
      <c r="F34" s="60"/>
      <c r="G34" s="60"/>
      <c r="H34" s="60"/>
      <c r="I34" s="60"/>
      <c r="J34" s="60"/>
      <c r="K34" s="60"/>
      <c r="L34" s="60"/>
      <c r="M34" s="60"/>
    </row>
    <row r="35" spans="5:13" x14ac:dyDescent="0.25">
      <c r="E35" s="60"/>
      <c r="F35" s="60"/>
      <c r="G35" s="60"/>
      <c r="H35" s="60"/>
      <c r="I35" s="60"/>
      <c r="J35" s="60"/>
      <c r="K35" s="60"/>
      <c r="L35" s="60"/>
      <c r="M35" s="60"/>
    </row>
    <row r="36" spans="5:13" x14ac:dyDescent="0.25">
      <c r="E36" s="60"/>
      <c r="F36" s="60"/>
      <c r="G36" s="60"/>
      <c r="H36" s="60"/>
      <c r="I36" s="60"/>
      <c r="J36" s="60"/>
      <c r="K36" s="60"/>
      <c r="L36" s="60"/>
      <c r="M36" s="60"/>
    </row>
    <row r="37" spans="5:13" x14ac:dyDescent="0.25">
      <c r="E37" s="60"/>
      <c r="F37" s="60"/>
      <c r="G37" s="60"/>
      <c r="H37" s="60"/>
      <c r="I37" s="60"/>
      <c r="J37" s="60"/>
      <c r="K37" s="60"/>
      <c r="L37" s="60"/>
      <c r="M37" s="60"/>
    </row>
    <row r="38" spans="5:13" x14ac:dyDescent="0.25">
      <c r="E38" s="60"/>
      <c r="F38" s="60"/>
      <c r="G38" s="60"/>
      <c r="H38" s="60"/>
      <c r="I38" s="60"/>
      <c r="J38" s="60"/>
      <c r="K38" s="60"/>
      <c r="L38" s="60"/>
      <c r="M38" s="60"/>
    </row>
    <row r="39" spans="5:13" x14ac:dyDescent="0.25">
      <c r="E39" s="60"/>
      <c r="F39" s="60"/>
      <c r="G39" s="60"/>
      <c r="H39" s="60"/>
      <c r="I39" s="60"/>
      <c r="J39" s="60"/>
      <c r="K39" s="60"/>
      <c r="L39" s="60"/>
      <c r="M39" s="60"/>
    </row>
    <row r="40" spans="5:13" x14ac:dyDescent="0.25">
      <c r="E40" s="60"/>
      <c r="F40" s="60"/>
      <c r="G40" s="60"/>
      <c r="H40" s="60"/>
      <c r="I40" s="60"/>
      <c r="J40" s="60"/>
      <c r="K40" s="60"/>
      <c r="L40" s="60"/>
      <c r="M40" s="60"/>
    </row>
    <row r="41" spans="5:13" x14ac:dyDescent="0.25">
      <c r="E41" s="60"/>
      <c r="F41" s="60"/>
      <c r="G41" s="60"/>
      <c r="H41" s="60"/>
      <c r="I41" s="60"/>
      <c r="J41" s="60"/>
      <c r="K41" s="60"/>
      <c r="L41" s="60"/>
      <c r="M41" s="60"/>
    </row>
    <row r="42" spans="5:13" x14ac:dyDescent="0.25">
      <c r="E42" s="60"/>
      <c r="F42" s="60"/>
      <c r="G42" s="60"/>
      <c r="H42" s="60"/>
      <c r="I42" s="60"/>
      <c r="J42" s="60"/>
      <c r="K42" s="60"/>
      <c r="L42" s="60"/>
      <c r="M42" s="60"/>
    </row>
    <row r="43" spans="5:13" x14ac:dyDescent="0.25">
      <c r="E43" s="60"/>
      <c r="F43" s="60"/>
      <c r="G43" s="60"/>
      <c r="H43" s="60"/>
      <c r="I43" s="60"/>
      <c r="J43" s="60"/>
      <c r="K43" s="60"/>
      <c r="L43" s="60"/>
      <c r="M43" s="60"/>
    </row>
    <row r="44" spans="5:13" x14ac:dyDescent="0.25">
      <c r="E44" s="60"/>
      <c r="F44" s="60"/>
      <c r="G44" s="60"/>
      <c r="H44" s="60"/>
      <c r="I44" s="60"/>
      <c r="J44" s="60"/>
      <c r="K44" s="60"/>
      <c r="L44" s="60"/>
      <c r="M44" s="60"/>
    </row>
    <row r="45" spans="5:13" x14ac:dyDescent="0.25">
      <c r="E45" s="60"/>
      <c r="F45" s="60"/>
      <c r="G45" s="60"/>
      <c r="H45" s="60"/>
      <c r="I45" s="60"/>
      <c r="J45" s="60"/>
      <c r="K45" s="60"/>
      <c r="L45" s="60"/>
      <c r="M45" s="60"/>
    </row>
    <row r="46" spans="5:13" x14ac:dyDescent="0.25">
      <c r="E46" s="60"/>
      <c r="F46" s="60"/>
      <c r="G46" s="60"/>
      <c r="H46" s="60"/>
      <c r="I46" s="60"/>
      <c r="J46" s="60"/>
      <c r="K46" s="60"/>
      <c r="L46" s="60"/>
      <c r="M46" s="60"/>
    </row>
    <row r="47" spans="5:13" x14ac:dyDescent="0.25">
      <c r="E47" s="60"/>
      <c r="F47" s="60"/>
      <c r="G47" s="60"/>
      <c r="H47" s="60"/>
      <c r="I47" s="60"/>
      <c r="J47" s="60"/>
      <c r="K47" s="60"/>
      <c r="L47" s="60"/>
      <c r="M47" s="60"/>
    </row>
    <row r="48" spans="5:13" x14ac:dyDescent="0.25">
      <c r="E48" s="60"/>
      <c r="F48" s="60"/>
      <c r="G48" s="60"/>
      <c r="H48" s="60"/>
      <c r="I48" s="60"/>
      <c r="J48" s="60"/>
      <c r="K48" s="60"/>
      <c r="L48" s="60"/>
      <c r="M48" s="60"/>
    </row>
    <row r="49" spans="5:13" x14ac:dyDescent="0.25">
      <c r="E49" s="60"/>
      <c r="F49" s="60"/>
      <c r="G49" s="60"/>
      <c r="H49" s="60"/>
      <c r="I49" s="60"/>
      <c r="J49" s="60"/>
      <c r="K49" s="60"/>
      <c r="L49" s="60"/>
      <c r="M49" s="60"/>
    </row>
    <row r="50" spans="5:13" x14ac:dyDescent="0.25">
      <c r="E50" s="60"/>
      <c r="F50" s="60"/>
      <c r="G50" s="60"/>
      <c r="H50" s="60"/>
      <c r="I50" s="60"/>
      <c r="J50" s="60"/>
      <c r="K50" s="60"/>
      <c r="L50" s="60"/>
      <c r="M50" s="60"/>
    </row>
    <row r="51" spans="5:13" x14ac:dyDescent="0.25">
      <c r="E51" s="60"/>
      <c r="F51" s="60"/>
      <c r="G51" s="60"/>
      <c r="H51" s="60"/>
      <c r="I51" s="60"/>
      <c r="J51" s="60"/>
      <c r="K51" s="60"/>
      <c r="L51" s="60"/>
      <c r="M51" s="60"/>
    </row>
    <row r="52" spans="5:13" x14ac:dyDescent="0.25">
      <c r="E52" s="60"/>
      <c r="F52" s="60"/>
      <c r="G52" s="60"/>
      <c r="H52" s="60"/>
      <c r="I52" s="60"/>
      <c r="J52" s="60"/>
      <c r="K52" s="60"/>
      <c r="L52" s="60"/>
      <c r="M52" s="60"/>
    </row>
    <row r="53" spans="5:13" x14ac:dyDescent="0.25">
      <c r="E53" s="60"/>
      <c r="F53" s="60"/>
      <c r="G53" s="60"/>
      <c r="H53" s="60"/>
      <c r="I53" s="60"/>
      <c r="J53" s="60"/>
      <c r="K53" s="60"/>
      <c r="L53" s="60"/>
      <c r="M53" s="60"/>
    </row>
    <row r="54" spans="5:13" x14ac:dyDescent="0.25">
      <c r="E54" s="60"/>
      <c r="F54" s="60"/>
      <c r="G54" s="60"/>
      <c r="H54" s="60"/>
      <c r="I54" s="60"/>
      <c r="J54" s="60"/>
      <c r="K54" s="60"/>
      <c r="L54" s="60"/>
      <c r="M54" s="60"/>
    </row>
    <row r="55" spans="5:13" x14ac:dyDescent="0.25">
      <c r="E55" s="60"/>
      <c r="F55" s="60"/>
      <c r="G55" s="60"/>
      <c r="H55" s="60"/>
      <c r="I55" s="60"/>
      <c r="J55" s="60"/>
      <c r="K55" s="60"/>
      <c r="L55" s="60"/>
      <c r="M55" s="60"/>
    </row>
    <row r="56" spans="5:13" x14ac:dyDescent="0.25">
      <c r="E56" s="60"/>
      <c r="F56" s="60"/>
      <c r="G56" s="60"/>
      <c r="H56" s="60"/>
      <c r="I56" s="60"/>
      <c r="J56" s="60"/>
      <c r="K56" s="60"/>
      <c r="L56" s="60"/>
      <c r="M56" s="60"/>
    </row>
    <row r="57" spans="5:13" x14ac:dyDescent="0.25">
      <c r="E57" s="60"/>
      <c r="F57" s="60"/>
      <c r="G57" s="60"/>
      <c r="H57" s="60"/>
      <c r="I57" s="60"/>
      <c r="J57" s="60"/>
      <c r="K57" s="60"/>
      <c r="L57" s="60"/>
      <c r="M57" s="60"/>
    </row>
    <row r="58" spans="5:13" x14ac:dyDescent="0.25">
      <c r="E58" s="60"/>
      <c r="F58" s="60"/>
      <c r="G58" s="60"/>
      <c r="H58" s="60"/>
      <c r="I58" s="60"/>
      <c r="J58" s="60"/>
      <c r="K58" s="60"/>
      <c r="L58" s="60"/>
      <c r="M58" s="60"/>
    </row>
    <row r="59" spans="5:13" x14ac:dyDescent="0.25">
      <c r="E59" s="60"/>
      <c r="F59" s="60"/>
      <c r="G59" s="60"/>
      <c r="H59" s="60"/>
      <c r="I59" s="60"/>
      <c r="J59" s="60"/>
      <c r="K59" s="60"/>
      <c r="L59" s="60"/>
      <c r="M59" s="60"/>
    </row>
    <row r="60" spans="5:13" x14ac:dyDescent="0.25">
      <c r="E60" s="60"/>
      <c r="F60" s="60"/>
      <c r="G60" s="60"/>
      <c r="H60" s="60"/>
      <c r="I60" s="60"/>
      <c r="J60" s="60"/>
      <c r="K60" s="60"/>
      <c r="L60" s="60"/>
      <c r="M60" s="60"/>
    </row>
    <row r="61" spans="5:13" x14ac:dyDescent="0.25">
      <c r="E61" s="60"/>
      <c r="F61" s="60"/>
      <c r="G61" s="60"/>
      <c r="H61" s="60"/>
      <c r="I61" s="60"/>
      <c r="J61" s="60"/>
      <c r="K61" s="60"/>
      <c r="L61" s="60"/>
      <c r="M61" s="60"/>
    </row>
    <row r="62" spans="5:13" x14ac:dyDescent="0.25">
      <c r="E62" s="60"/>
      <c r="F62" s="60"/>
      <c r="G62" s="60"/>
      <c r="H62" s="60"/>
      <c r="I62" s="60"/>
      <c r="J62" s="60"/>
      <c r="K62" s="60"/>
      <c r="L62" s="60"/>
      <c r="M62" s="60"/>
    </row>
    <row r="63" spans="5:13" x14ac:dyDescent="0.25">
      <c r="E63" s="60"/>
      <c r="F63" s="60"/>
      <c r="G63" s="60"/>
      <c r="H63" s="60"/>
      <c r="I63" s="60"/>
      <c r="J63" s="60"/>
      <c r="K63" s="60"/>
      <c r="L63" s="60"/>
      <c r="M63" s="60"/>
    </row>
    <row r="64" spans="5:13" x14ac:dyDescent="0.25">
      <c r="E64" s="60"/>
      <c r="F64" s="60"/>
      <c r="G64" s="60"/>
      <c r="H64" s="60"/>
      <c r="I64" s="60"/>
      <c r="J64" s="60"/>
      <c r="K64" s="60"/>
      <c r="L64" s="60"/>
      <c r="M64" s="60"/>
    </row>
    <row r="65" spans="5:13" x14ac:dyDescent="0.25">
      <c r="E65" s="60"/>
      <c r="F65" s="60"/>
      <c r="G65" s="60"/>
      <c r="H65" s="60"/>
      <c r="I65" s="60"/>
      <c r="J65" s="60"/>
      <c r="K65" s="60"/>
      <c r="L65" s="60"/>
      <c r="M65" s="60"/>
    </row>
    <row r="66" spans="5:13" x14ac:dyDescent="0.25">
      <c r="E66" s="60"/>
      <c r="F66" s="60"/>
      <c r="G66" s="60"/>
      <c r="H66" s="60"/>
      <c r="I66" s="60"/>
      <c r="J66" s="60"/>
      <c r="K66" s="60"/>
      <c r="L66" s="60"/>
      <c r="M66" s="60"/>
    </row>
    <row r="67" spans="5:13" x14ac:dyDescent="0.25">
      <c r="E67" s="60"/>
      <c r="F67" s="60"/>
      <c r="G67" s="60"/>
      <c r="H67" s="60"/>
      <c r="I67" s="60"/>
      <c r="J67" s="60"/>
      <c r="K67" s="60"/>
      <c r="L67" s="60"/>
      <c r="M67" s="60"/>
    </row>
    <row r="68" spans="5:13" x14ac:dyDescent="0.25">
      <c r="E68" s="60"/>
      <c r="F68" s="60"/>
      <c r="G68" s="60"/>
      <c r="H68" s="60"/>
      <c r="I68" s="60"/>
      <c r="J68" s="60"/>
      <c r="K68" s="60"/>
      <c r="L68" s="60"/>
      <c r="M68" s="60"/>
    </row>
    <row r="69" spans="5:13" x14ac:dyDescent="0.25">
      <c r="E69" s="60"/>
      <c r="F69" s="60"/>
      <c r="G69" s="60"/>
      <c r="H69" s="60"/>
      <c r="I69" s="60"/>
      <c r="J69" s="60"/>
      <c r="K69" s="60"/>
      <c r="L69" s="60"/>
      <c r="M69" s="60"/>
    </row>
    <row r="70" spans="5:13" x14ac:dyDescent="0.25">
      <c r="E70" s="60"/>
      <c r="F70" s="60"/>
      <c r="G70" s="60"/>
      <c r="H70" s="60"/>
      <c r="I70" s="60"/>
      <c r="J70" s="60"/>
      <c r="K70" s="60"/>
      <c r="L70" s="60"/>
      <c r="M70" s="60"/>
    </row>
    <row r="71" spans="5:13" x14ac:dyDescent="0.25">
      <c r="E71" s="60"/>
      <c r="F71" s="60"/>
      <c r="G71" s="60"/>
      <c r="H71" s="60"/>
      <c r="I71" s="60"/>
      <c r="J71" s="60"/>
      <c r="K71" s="60"/>
      <c r="L71" s="60"/>
      <c r="M71" s="60"/>
    </row>
    <row r="72" spans="5:13" x14ac:dyDescent="0.25">
      <c r="E72" s="60"/>
      <c r="F72" s="60"/>
      <c r="G72" s="60"/>
      <c r="H72" s="60"/>
      <c r="I72" s="60"/>
      <c r="J72" s="60"/>
      <c r="K72" s="60"/>
      <c r="L72" s="60"/>
      <c r="M72" s="60"/>
    </row>
    <row r="73" spans="5:13" x14ac:dyDescent="0.25">
      <c r="E73" s="60"/>
      <c r="F73" s="60"/>
      <c r="G73" s="60"/>
      <c r="H73" s="60"/>
      <c r="I73" s="60"/>
      <c r="J73" s="60"/>
      <c r="K73" s="60"/>
      <c r="L73" s="60"/>
      <c r="M73" s="60"/>
    </row>
    <row r="74" spans="5:13" x14ac:dyDescent="0.25">
      <c r="E74" s="60"/>
      <c r="F74" s="60"/>
      <c r="G74" s="60"/>
      <c r="H74" s="60"/>
      <c r="I74" s="60"/>
      <c r="J74" s="60"/>
      <c r="K74" s="60"/>
      <c r="L74" s="60"/>
      <c r="M74" s="60"/>
    </row>
    <row r="75" spans="5:13" x14ac:dyDescent="0.25">
      <c r="E75" s="60"/>
      <c r="F75" s="60"/>
      <c r="G75" s="60"/>
      <c r="H75" s="60"/>
      <c r="I75" s="60"/>
      <c r="J75" s="60"/>
      <c r="K75" s="60"/>
      <c r="L75" s="60"/>
      <c r="M75" s="60"/>
    </row>
    <row r="76" spans="5:13" x14ac:dyDescent="0.25">
      <c r="E76" s="60"/>
      <c r="F76" s="60"/>
      <c r="G76" s="60"/>
      <c r="H76" s="60"/>
      <c r="I76" s="60"/>
      <c r="J76" s="60"/>
      <c r="K76" s="60"/>
      <c r="L76" s="60"/>
      <c r="M76" s="60"/>
    </row>
    <row r="77" spans="5:13" x14ac:dyDescent="0.25">
      <c r="E77" s="60"/>
      <c r="F77" s="60"/>
      <c r="G77" s="60"/>
      <c r="H77" s="60"/>
      <c r="I77" s="60"/>
      <c r="J77" s="60"/>
      <c r="K77" s="60"/>
      <c r="L77" s="60"/>
      <c r="M77" s="60"/>
    </row>
    <row r="78" spans="5:13" x14ac:dyDescent="0.25">
      <c r="E78" s="60"/>
      <c r="F78" s="60"/>
      <c r="G78" s="60"/>
      <c r="H78" s="60"/>
      <c r="I78" s="60"/>
      <c r="J78" s="60"/>
      <c r="K78" s="60"/>
      <c r="L78" s="60"/>
      <c r="M78" s="60"/>
    </row>
    <row r="79" spans="5:13" x14ac:dyDescent="0.25">
      <c r="E79" s="60"/>
      <c r="F79" s="60"/>
      <c r="G79" s="60"/>
      <c r="H79" s="60"/>
      <c r="I79" s="60"/>
      <c r="J79" s="60"/>
      <c r="K79" s="60"/>
      <c r="L79" s="60"/>
      <c r="M79" s="60"/>
    </row>
    <row r="80" spans="5:13" x14ac:dyDescent="0.25">
      <c r="E80" s="60"/>
      <c r="F80" s="60"/>
      <c r="G80" s="60"/>
      <c r="H80" s="60"/>
      <c r="I80" s="60"/>
      <c r="J80" s="60"/>
      <c r="K80" s="60"/>
      <c r="L80" s="60"/>
      <c r="M80" s="60"/>
    </row>
    <row r="81" spans="5:13" x14ac:dyDescent="0.25">
      <c r="E81" s="60"/>
      <c r="F81" s="60"/>
      <c r="G81" s="60"/>
      <c r="H81" s="60"/>
      <c r="I81" s="60"/>
      <c r="J81" s="60"/>
      <c r="K81" s="60"/>
      <c r="L81" s="60"/>
      <c r="M81" s="60"/>
    </row>
    <row r="82" spans="5:13" x14ac:dyDescent="0.25">
      <c r="E82" s="60"/>
      <c r="F82" s="60"/>
      <c r="G82" s="60"/>
      <c r="H82" s="60"/>
      <c r="I82" s="60"/>
      <c r="J82" s="60"/>
      <c r="K82" s="60"/>
      <c r="L82" s="60"/>
      <c r="M82" s="60"/>
    </row>
    <row r="83" spans="5:13" x14ac:dyDescent="0.25">
      <c r="E83" s="60"/>
      <c r="F83" s="60"/>
      <c r="G83" s="60"/>
      <c r="H83" s="60"/>
      <c r="I83" s="60"/>
      <c r="J83" s="60"/>
      <c r="K83" s="60"/>
      <c r="L83" s="60"/>
      <c r="M83" s="60"/>
    </row>
    <row r="84" spans="5:13" x14ac:dyDescent="0.25">
      <c r="E84" s="60"/>
      <c r="F84" s="60"/>
      <c r="G84" s="60"/>
      <c r="H84" s="60"/>
      <c r="I84" s="60"/>
      <c r="J84" s="60"/>
      <c r="K84" s="60"/>
      <c r="L84" s="60"/>
      <c r="M84" s="60"/>
    </row>
    <row r="85" spans="5:13" x14ac:dyDescent="0.25">
      <c r="E85" s="60"/>
      <c r="F85" s="60"/>
      <c r="G85" s="60"/>
      <c r="H85" s="60"/>
      <c r="I85" s="60"/>
      <c r="J85" s="60"/>
      <c r="K85" s="60"/>
      <c r="L85" s="60"/>
      <c r="M85" s="60"/>
    </row>
    <row r="86" spans="5:13" x14ac:dyDescent="0.25">
      <c r="E86" s="60"/>
      <c r="F86" s="60"/>
      <c r="G86" s="60"/>
      <c r="H86" s="60"/>
      <c r="I86" s="60"/>
      <c r="J86" s="60"/>
      <c r="K86" s="60"/>
      <c r="L86" s="60"/>
      <c r="M86" s="60"/>
    </row>
    <row r="87" spans="5:13" x14ac:dyDescent="0.25">
      <c r="E87" s="60"/>
      <c r="F87" s="60"/>
      <c r="G87" s="60"/>
      <c r="H87" s="60"/>
      <c r="I87" s="60"/>
      <c r="J87" s="60"/>
      <c r="K87" s="60"/>
      <c r="L87" s="60"/>
      <c r="M87" s="60"/>
    </row>
    <row r="88" spans="5:13" x14ac:dyDescent="0.25">
      <c r="E88" s="60"/>
      <c r="F88" s="60"/>
      <c r="G88" s="60"/>
      <c r="H88" s="60"/>
      <c r="I88" s="60"/>
      <c r="J88" s="60"/>
      <c r="K88" s="60"/>
      <c r="L88" s="60"/>
      <c r="M88" s="60"/>
    </row>
    <row r="89" spans="5:13" x14ac:dyDescent="0.25">
      <c r="E89" s="60"/>
      <c r="F89" s="60"/>
      <c r="G89" s="60"/>
      <c r="H89" s="60"/>
      <c r="I89" s="60"/>
      <c r="J89" s="60"/>
      <c r="K89" s="60"/>
      <c r="L89" s="60"/>
      <c r="M89" s="60"/>
    </row>
    <row r="90" spans="5:13" x14ac:dyDescent="0.25">
      <c r="E90" s="60"/>
      <c r="F90" s="60"/>
      <c r="G90" s="60"/>
      <c r="H90" s="60"/>
      <c r="I90" s="60"/>
      <c r="J90" s="60"/>
      <c r="K90" s="60"/>
      <c r="L90" s="60"/>
      <c r="M90" s="60"/>
    </row>
    <row r="91" spans="5:13" x14ac:dyDescent="0.25">
      <c r="E91" s="60"/>
      <c r="F91" s="60"/>
      <c r="G91" s="60"/>
      <c r="H91" s="60"/>
      <c r="I91" s="60"/>
      <c r="J91" s="60"/>
      <c r="K91" s="60"/>
      <c r="L91" s="60"/>
      <c r="M91" s="60"/>
    </row>
    <row r="92" spans="5:13" x14ac:dyDescent="0.25">
      <c r="E92" s="60"/>
      <c r="F92" s="60"/>
      <c r="G92" s="60"/>
      <c r="H92" s="60"/>
      <c r="I92" s="60"/>
      <c r="J92" s="60"/>
      <c r="K92" s="60"/>
      <c r="L92" s="60"/>
      <c r="M92" s="60"/>
    </row>
    <row r="93" spans="5:13" x14ac:dyDescent="0.25">
      <c r="E93" s="60"/>
      <c r="F93" s="60"/>
      <c r="G93" s="60"/>
      <c r="H93" s="60"/>
      <c r="I93" s="60"/>
      <c r="J93" s="60"/>
      <c r="K93" s="60"/>
      <c r="L93" s="60"/>
      <c r="M93" s="60"/>
    </row>
    <row r="94" spans="5:13" x14ac:dyDescent="0.25">
      <c r="E94" s="60"/>
      <c r="F94" s="60"/>
      <c r="G94" s="60"/>
      <c r="H94" s="60"/>
      <c r="I94" s="60"/>
      <c r="J94" s="60"/>
      <c r="K94" s="60"/>
      <c r="L94" s="60"/>
      <c r="M94" s="60"/>
    </row>
    <row r="95" spans="5:13" x14ac:dyDescent="0.25">
      <c r="E95" s="60"/>
      <c r="F95" s="60"/>
      <c r="G95" s="60"/>
      <c r="H95" s="60"/>
      <c r="I95" s="60"/>
      <c r="J95" s="60"/>
      <c r="K95" s="60"/>
      <c r="L95" s="60"/>
      <c r="M95" s="60"/>
    </row>
    <row r="96" spans="5:13" x14ac:dyDescent="0.25">
      <c r="E96" s="60"/>
      <c r="F96" s="60"/>
      <c r="G96" s="60"/>
      <c r="H96" s="60"/>
      <c r="I96" s="60"/>
      <c r="J96" s="60"/>
      <c r="K96" s="60"/>
      <c r="L96" s="60"/>
      <c r="M96" s="60"/>
    </row>
    <row r="97" spans="5:13" x14ac:dyDescent="0.25">
      <c r="E97" s="60"/>
      <c r="F97" s="60"/>
      <c r="G97" s="60"/>
      <c r="H97" s="60"/>
      <c r="I97" s="60"/>
      <c r="J97" s="60"/>
      <c r="K97" s="60"/>
      <c r="L97" s="60"/>
      <c r="M97" s="60"/>
    </row>
    <row r="98" spans="5:13" x14ac:dyDescent="0.25">
      <c r="E98" s="60"/>
      <c r="F98" s="60"/>
      <c r="G98" s="60"/>
      <c r="H98" s="60"/>
      <c r="I98" s="60"/>
      <c r="J98" s="60"/>
      <c r="K98" s="60"/>
      <c r="L98" s="60"/>
      <c r="M98" s="60"/>
    </row>
    <row r="99" spans="5:13" x14ac:dyDescent="0.25">
      <c r="E99" s="60"/>
      <c r="F99" s="60"/>
      <c r="G99" s="60"/>
      <c r="H99" s="60"/>
      <c r="I99" s="60"/>
      <c r="J99" s="60"/>
      <c r="K99" s="60"/>
      <c r="L99" s="60"/>
      <c r="M99" s="60"/>
    </row>
    <row r="100" spans="5:13" x14ac:dyDescent="0.25">
      <c r="E100" s="60"/>
      <c r="F100" s="60"/>
      <c r="G100" s="60"/>
      <c r="H100" s="60"/>
      <c r="I100" s="60"/>
      <c r="J100" s="60"/>
      <c r="K100" s="60"/>
      <c r="L100" s="60"/>
      <c r="M100" s="60"/>
    </row>
    <row r="101" spans="5:13" x14ac:dyDescent="0.25">
      <c r="E101" s="60"/>
      <c r="F101" s="60"/>
      <c r="G101" s="60"/>
      <c r="H101" s="60"/>
      <c r="I101" s="60"/>
      <c r="J101" s="60"/>
      <c r="K101" s="60"/>
      <c r="L101" s="60"/>
      <c r="M101" s="60"/>
    </row>
    <row r="102" spans="5:13" x14ac:dyDescent="0.25">
      <c r="E102" s="60"/>
      <c r="F102" s="60"/>
      <c r="G102" s="60"/>
      <c r="H102" s="60"/>
      <c r="I102" s="60"/>
      <c r="J102" s="60"/>
      <c r="K102" s="60"/>
      <c r="L102" s="60"/>
      <c r="M102" s="60"/>
    </row>
    <row r="103" spans="5:13" x14ac:dyDescent="0.25">
      <c r="E103" s="60"/>
      <c r="F103" s="60"/>
      <c r="G103" s="60"/>
      <c r="H103" s="60"/>
      <c r="I103" s="60"/>
      <c r="J103" s="60"/>
      <c r="K103" s="60"/>
      <c r="L103" s="60"/>
      <c r="M103" s="60"/>
    </row>
    <row r="104" spans="5:13" x14ac:dyDescent="0.25">
      <c r="E104" s="60"/>
      <c r="F104" s="60"/>
      <c r="G104" s="60"/>
      <c r="H104" s="60"/>
      <c r="I104" s="60"/>
      <c r="J104" s="60"/>
      <c r="K104" s="60"/>
      <c r="L104" s="60"/>
      <c r="M104" s="60"/>
    </row>
    <row r="105" spans="5:13" x14ac:dyDescent="0.25">
      <c r="E105" s="60"/>
      <c r="F105" s="60"/>
      <c r="G105" s="60"/>
      <c r="H105" s="60"/>
      <c r="I105" s="60"/>
      <c r="J105" s="60"/>
      <c r="K105" s="60"/>
      <c r="L105" s="60"/>
      <c r="M105" s="60"/>
    </row>
    <row r="106" spans="5:13" x14ac:dyDescent="0.25">
      <c r="E106" s="60"/>
      <c r="F106" s="60"/>
      <c r="G106" s="60"/>
      <c r="H106" s="60"/>
      <c r="I106" s="60"/>
      <c r="J106" s="60"/>
      <c r="K106" s="60"/>
      <c r="L106" s="60"/>
      <c r="M106" s="60"/>
    </row>
    <row r="107" spans="5:13" x14ac:dyDescent="0.25">
      <c r="E107" s="60"/>
      <c r="F107" s="60"/>
      <c r="G107" s="60"/>
      <c r="H107" s="60"/>
      <c r="I107" s="60"/>
      <c r="J107" s="60"/>
      <c r="K107" s="60"/>
      <c r="L107" s="60"/>
      <c r="M107" s="60"/>
    </row>
    <row r="108" spans="5:13" x14ac:dyDescent="0.25">
      <c r="E108" s="60"/>
      <c r="F108" s="60"/>
      <c r="G108" s="60"/>
      <c r="H108" s="60"/>
      <c r="I108" s="60"/>
      <c r="J108" s="60"/>
      <c r="K108" s="60"/>
      <c r="L108" s="60"/>
      <c r="M108" s="60"/>
    </row>
    <row r="109" spans="5:13" x14ac:dyDescent="0.25">
      <c r="E109" s="60"/>
      <c r="F109" s="60"/>
      <c r="G109" s="60"/>
      <c r="H109" s="60"/>
      <c r="I109" s="60"/>
      <c r="J109" s="60"/>
      <c r="K109" s="60"/>
      <c r="L109" s="60"/>
      <c r="M109" s="60"/>
    </row>
    <row r="110" spans="5:13" x14ac:dyDescent="0.25">
      <c r="E110" s="60"/>
      <c r="F110" s="60"/>
      <c r="G110" s="60"/>
      <c r="H110" s="60"/>
      <c r="I110" s="60"/>
      <c r="J110" s="60"/>
      <c r="K110" s="60"/>
      <c r="L110" s="60"/>
      <c r="M110" s="60"/>
    </row>
    <row r="111" spans="5:13" x14ac:dyDescent="0.25">
      <c r="E111" s="60"/>
      <c r="F111" s="60"/>
      <c r="G111" s="60"/>
      <c r="H111" s="60"/>
      <c r="I111" s="60"/>
      <c r="J111" s="60"/>
      <c r="K111" s="60"/>
      <c r="L111" s="60"/>
      <c r="M111" s="60"/>
    </row>
    <row r="112" spans="5:13" x14ac:dyDescent="0.25">
      <c r="E112" s="60"/>
      <c r="F112" s="60"/>
      <c r="G112" s="60"/>
      <c r="H112" s="60"/>
      <c r="I112" s="60"/>
      <c r="J112" s="60"/>
      <c r="K112" s="60"/>
      <c r="L112" s="60"/>
      <c r="M112" s="60"/>
    </row>
    <row r="113" spans="5:13" x14ac:dyDescent="0.25">
      <c r="E113" s="60"/>
      <c r="F113" s="60"/>
      <c r="G113" s="60"/>
      <c r="H113" s="60"/>
      <c r="I113" s="60"/>
      <c r="J113" s="60"/>
      <c r="K113" s="60"/>
      <c r="L113" s="60"/>
      <c r="M113" s="60"/>
    </row>
    <row r="114" spans="5:13" x14ac:dyDescent="0.25">
      <c r="E114" s="60"/>
      <c r="F114" s="60"/>
      <c r="G114" s="60"/>
      <c r="H114" s="60"/>
      <c r="I114" s="60"/>
      <c r="J114" s="60"/>
      <c r="K114" s="60"/>
      <c r="L114" s="60"/>
      <c r="M114" s="60"/>
    </row>
    <row r="115" spans="5:13" x14ac:dyDescent="0.25">
      <c r="E115" s="60"/>
      <c r="F115" s="60"/>
      <c r="G115" s="60"/>
      <c r="H115" s="60"/>
      <c r="I115" s="60"/>
      <c r="J115" s="60"/>
      <c r="K115" s="60"/>
      <c r="L115" s="60"/>
      <c r="M115" s="60"/>
    </row>
    <row r="116" spans="5:13" x14ac:dyDescent="0.25">
      <c r="E116" s="60"/>
      <c r="F116" s="60"/>
      <c r="G116" s="60"/>
      <c r="H116" s="60"/>
      <c r="I116" s="60"/>
      <c r="J116" s="60"/>
      <c r="K116" s="60"/>
      <c r="L116" s="60"/>
      <c r="M116" s="60"/>
    </row>
    <row r="117" spans="5:13" x14ac:dyDescent="0.25">
      <c r="E117" s="60"/>
      <c r="F117" s="60"/>
      <c r="G117" s="60"/>
      <c r="H117" s="60"/>
      <c r="I117" s="60"/>
      <c r="J117" s="60"/>
      <c r="K117" s="60"/>
      <c r="L117" s="60"/>
      <c r="M117" s="60"/>
    </row>
    <row r="118" spans="5:13" x14ac:dyDescent="0.25">
      <c r="E118" s="60"/>
      <c r="F118" s="60"/>
      <c r="G118" s="60"/>
      <c r="H118" s="60"/>
      <c r="I118" s="60"/>
      <c r="J118" s="60"/>
      <c r="K118" s="60"/>
      <c r="L118" s="60"/>
      <c r="M118" s="60"/>
    </row>
    <row r="119" spans="5:13" x14ac:dyDescent="0.25">
      <c r="E119" s="60"/>
      <c r="F119" s="60"/>
      <c r="G119" s="60"/>
      <c r="H119" s="60"/>
      <c r="I119" s="60"/>
      <c r="J119" s="60"/>
      <c r="K119" s="60"/>
      <c r="L119" s="60"/>
      <c r="M119" s="60"/>
    </row>
    <row r="120" spans="5:13" x14ac:dyDescent="0.25">
      <c r="E120" s="60"/>
      <c r="F120" s="60"/>
      <c r="G120" s="60"/>
      <c r="H120" s="60"/>
      <c r="I120" s="60"/>
      <c r="J120" s="60"/>
      <c r="K120" s="60"/>
      <c r="L120" s="60"/>
      <c r="M120" s="60"/>
    </row>
    <row r="121" spans="5:13" x14ac:dyDescent="0.25">
      <c r="E121" s="60"/>
      <c r="F121" s="60"/>
      <c r="G121" s="60"/>
      <c r="H121" s="60"/>
      <c r="I121" s="60"/>
      <c r="J121" s="60"/>
      <c r="K121" s="60"/>
      <c r="L121" s="60"/>
      <c r="M121" s="60"/>
    </row>
    <row r="122" spans="5:13" x14ac:dyDescent="0.25">
      <c r="E122" s="60"/>
      <c r="F122" s="60"/>
      <c r="G122" s="60"/>
      <c r="H122" s="60"/>
      <c r="I122" s="60"/>
      <c r="J122" s="60"/>
      <c r="K122" s="60"/>
      <c r="L122" s="60"/>
      <c r="M122" s="60"/>
    </row>
    <row r="123" spans="5:13" x14ac:dyDescent="0.25">
      <c r="E123" s="60"/>
      <c r="F123" s="60"/>
      <c r="G123" s="60"/>
      <c r="H123" s="60"/>
      <c r="I123" s="60"/>
      <c r="J123" s="60"/>
      <c r="K123" s="60"/>
      <c r="L123" s="60"/>
      <c r="M123" s="60"/>
    </row>
    <row r="124" spans="5:13" x14ac:dyDescent="0.25">
      <c r="E124" s="60"/>
      <c r="F124" s="60"/>
      <c r="G124" s="60"/>
      <c r="H124" s="60"/>
      <c r="I124" s="60"/>
      <c r="J124" s="60"/>
      <c r="K124" s="60"/>
      <c r="L124" s="60"/>
      <c r="M124" s="60"/>
    </row>
    <row r="125" spans="5:13" x14ac:dyDescent="0.25">
      <c r="E125" s="60"/>
      <c r="F125" s="60"/>
      <c r="G125" s="60"/>
      <c r="H125" s="60"/>
      <c r="I125" s="60"/>
      <c r="J125" s="60"/>
      <c r="K125" s="60"/>
      <c r="L125" s="60"/>
      <c r="M125" s="60"/>
    </row>
    <row r="126" spans="5:13" x14ac:dyDescent="0.25">
      <c r="E126" s="60"/>
      <c r="F126" s="60"/>
      <c r="G126" s="60"/>
      <c r="H126" s="60"/>
      <c r="I126" s="60"/>
      <c r="J126" s="60"/>
      <c r="K126" s="60"/>
      <c r="L126" s="60"/>
      <c r="M126" s="60"/>
    </row>
    <row r="127" spans="5:13" x14ac:dyDescent="0.25">
      <c r="E127" s="60"/>
      <c r="F127" s="60"/>
      <c r="G127" s="60"/>
      <c r="H127" s="60"/>
      <c r="I127" s="60"/>
      <c r="J127" s="60"/>
      <c r="K127" s="60"/>
      <c r="L127" s="60"/>
      <c r="M127" s="60"/>
    </row>
    <row r="128" spans="5:13" x14ac:dyDescent="0.25">
      <c r="E128" s="60"/>
      <c r="F128" s="60"/>
      <c r="G128" s="60"/>
      <c r="H128" s="60"/>
      <c r="I128" s="60"/>
      <c r="J128" s="60"/>
      <c r="K128" s="60"/>
      <c r="L128" s="60"/>
      <c r="M128" s="60"/>
    </row>
    <row r="129" spans="5:13" x14ac:dyDescent="0.25">
      <c r="E129" s="60"/>
      <c r="F129" s="60"/>
      <c r="G129" s="60"/>
      <c r="H129" s="60"/>
      <c r="I129" s="60"/>
      <c r="J129" s="60"/>
      <c r="K129" s="60"/>
      <c r="L129" s="60"/>
      <c r="M129" s="60"/>
    </row>
    <row r="130" spans="5:13" x14ac:dyDescent="0.25">
      <c r="E130" s="60"/>
      <c r="F130" s="60"/>
      <c r="G130" s="60"/>
      <c r="H130" s="60"/>
      <c r="I130" s="60"/>
      <c r="J130" s="60"/>
      <c r="K130" s="60"/>
      <c r="L130" s="60"/>
      <c r="M130" s="60"/>
    </row>
    <row r="131" spans="5:13" x14ac:dyDescent="0.25">
      <c r="E131" s="60"/>
      <c r="F131" s="60"/>
      <c r="G131" s="60"/>
      <c r="H131" s="60"/>
      <c r="I131" s="60"/>
      <c r="J131" s="60"/>
      <c r="K131" s="60"/>
      <c r="L131" s="60"/>
      <c r="M131" s="60"/>
    </row>
    <row r="132" spans="5:13" x14ac:dyDescent="0.25">
      <c r="E132" s="60"/>
      <c r="F132" s="60"/>
      <c r="G132" s="60"/>
      <c r="H132" s="60"/>
      <c r="I132" s="60"/>
      <c r="J132" s="60"/>
      <c r="K132" s="60"/>
      <c r="L132" s="60"/>
      <c r="M132" s="60"/>
    </row>
    <row r="133" spans="5:13" x14ac:dyDescent="0.25">
      <c r="E133" s="60"/>
      <c r="F133" s="60"/>
      <c r="G133" s="60"/>
      <c r="H133" s="60"/>
      <c r="I133" s="60"/>
      <c r="J133" s="60"/>
      <c r="K133" s="60"/>
      <c r="L133" s="60"/>
      <c r="M133" s="60"/>
    </row>
    <row r="134" spans="5:13" x14ac:dyDescent="0.25">
      <c r="E134" s="60"/>
      <c r="F134" s="60"/>
      <c r="G134" s="60"/>
      <c r="H134" s="60"/>
      <c r="I134" s="60"/>
      <c r="J134" s="60"/>
      <c r="K134" s="60"/>
      <c r="L134" s="60"/>
      <c r="M134" s="60"/>
    </row>
    <row r="135" spans="5:13" x14ac:dyDescent="0.25">
      <c r="E135" s="60"/>
      <c r="F135" s="60"/>
      <c r="G135" s="60"/>
      <c r="H135" s="60"/>
      <c r="I135" s="60"/>
      <c r="J135" s="60"/>
      <c r="K135" s="60"/>
      <c r="L135" s="60"/>
      <c r="M135" s="60"/>
    </row>
    <row r="136" spans="5:13" x14ac:dyDescent="0.25">
      <c r="E136" s="60"/>
      <c r="F136" s="60"/>
      <c r="G136" s="60"/>
      <c r="H136" s="60"/>
      <c r="I136" s="60"/>
      <c r="J136" s="60"/>
      <c r="K136" s="60"/>
      <c r="L136" s="60"/>
      <c r="M136" s="60"/>
    </row>
    <row r="137" spans="5:13" x14ac:dyDescent="0.25">
      <c r="E137" s="60"/>
      <c r="F137" s="60"/>
      <c r="G137" s="60"/>
      <c r="H137" s="60"/>
      <c r="I137" s="60"/>
      <c r="J137" s="60"/>
      <c r="K137" s="60"/>
      <c r="L137" s="60"/>
      <c r="M137" s="60"/>
    </row>
    <row r="138" spans="5:13" x14ac:dyDescent="0.25">
      <c r="E138" s="60"/>
      <c r="F138" s="60"/>
      <c r="G138" s="60"/>
      <c r="H138" s="60"/>
      <c r="I138" s="60"/>
      <c r="J138" s="60"/>
      <c r="K138" s="60"/>
      <c r="L138" s="60"/>
      <c r="M138" s="60"/>
    </row>
    <row r="139" spans="5:13" x14ac:dyDescent="0.25">
      <c r="E139" s="60"/>
      <c r="F139" s="60"/>
      <c r="G139" s="60"/>
      <c r="H139" s="60"/>
      <c r="I139" s="60"/>
      <c r="J139" s="60"/>
      <c r="K139" s="60"/>
      <c r="L139" s="60"/>
      <c r="M139" s="60"/>
    </row>
    <row r="140" spans="5:13" x14ac:dyDescent="0.25">
      <c r="E140" s="60"/>
      <c r="F140" s="60"/>
      <c r="G140" s="60"/>
      <c r="H140" s="60"/>
      <c r="I140" s="60"/>
      <c r="J140" s="60"/>
      <c r="K140" s="60"/>
      <c r="L140" s="60"/>
      <c r="M140" s="60"/>
    </row>
    <row r="141" spans="5:13" x14ac:dyDescent="0.25">
      <c r="E141" s="60"/>
      <c r="F141" s="60"/>
      <c r="G141" s="60"/>
      <c r="H141" s="60"/>
      <c r="I141" s="60"/>
      <c r="J141" s="60"/>
      <c r="K141" s="60"/>
      <c r="L141" s="60"/>
      <c r="M141" s="60"/>
    </row>
    <row r="142" spans="5:13" x14ac:dyDescent="0.25">
      <c r="E142" s="60"/>
      <c r="F142" s="60"/>
      <c r="G142" s="60"/>
      <c r="H142" s="60"/>
      <c r="I142" s="60"/>
      <c r="J142" s="60"/>
      <c r="K142" s="60"/>
      <c r="L142" s="60"/>
      <c r="M142" s="60"/>
    </row>
    <row r="143" spans="5:13" x14ac:dyDescent="0.25">
      <c r="E143" s="60"/>
      <c r="F143" s="60"/>
      <c r="G143" s="60"/>
      <c r="H143" s="60"/>
      <c r="I143" s="60"/>
      <c r="J143" s="60"/>
      <c r="K143" s="60"/>
      <c r="L143" s="60"/>
      <c r="M143" s="60"/>
    </row>
    <row r="144" spans="5:13" x14ac:dyDescent="0.25">
      <c r="E144" s="60"/>
      <c r="F144" s="60"/>
      <c r="G144" s="60"/>
      <c r="H144" s="60"/>
      <c r="I144" s="60"/>
      <c r="J144" s="60"/>
      <c r="K144" s="60"/>
      <c r="L144" s="60"/>
      <c r="M144" s="60"/>
    </row>
    <row r="145" spans="5:13" x14ac:dyDescent="0.25">
      <c r="E145" s="60"/>
      <c r="F145" s="60"/>
      <c r="G145" s="60"/>
      <c r="H145" s="60"/>
      <c r="I145" s="60"/>
      <c r="J145" s="60"/>
      <c r="K145" s="60"/>
      <c r="L145" s="60"/>
      <c r="M145" s="60"/>
    </row>
    <row r="146" spans="5:13" x14ac:dyDescent="0.25">
      <c r="E146" s="60"/>
      <c r="F146" s="60"/>
      <c r="G146" s="60"/>
      <c r="H146" s="60"/>
      <c r="I146" s="60"/>
      <c r="J146" s="60"/>
      <c r="K146" s="60"/>
      <c r="L146" s="60"/>
      <c r="M146" s="60"/>
    </row>
    <row r="147" spans="5:13" x14ac:dyDescent="0.25">
      <c r="E147" s="60"/>
      <c r="F147" s="60"/>
      <c r="G147" s="60"/>
      <c r="H147" s="60"/>
      <c r="I147" s="60"/>
      <c r="J147" s="60"/>
      <c r="K147" s="60"/>
      <c r="L147" s="60"/>
      <c r="M147" s="60"/>
    </row>
    <row r="148" spans="5:13" x14ac:dyDescent="0.25">
      <c r="E148" s="60"/>
      <c r="F148" s="60"/>
      <c r="G148" s="60"/>
      <c r="H148" s="60"/>
      <c r="I148" s="60"/>
      <c r="J148" s="60"/>
      <c r="K148" s="60"/>
      <c r="L148" s="60"/>
      <c r="M148" s="60"/>
    </row>
    <row r="149" spans="5:13" x14ac:dyDescent="0.25">
      <c r="E149" s="60"/>
      <c r="F149" s="60"/>
      <c r="G149" s="60"/>
      <c r="H149" s="60"/>
      <c r="I149" s="60"/>
      <c r="J149" s="60"/>
      <c r="K149" s="60"/>
      <c r="L149" s="60"/>
      <c r="M149" s="60"/>
    </row>
    <row r="150" spans="5:13" x14ac:dyDescent="0.25">
      <c r="E150" s="60"/>
      <c r="F150" s="60"/>
      <c r="G150" s="60"/>
      <c r="H150" s="60"/>
      <c r="I150" s="60"/>
      <c r="J150" s="60"/>
      <c r="K150" s="60"/>
      <c r="L150" s="60"/>
      <c r="M150" s="60"/>
    </row>
    <row r="151" spans="5:13" x14ac:dyDescent="0.25">
      <c r="E151" s="60"/>
      <c r="F151" s="60"/>
      <c r="G151" s="60"/>
      <c r="H151" s="60"/>
      <c r="I151" s="60"/>
      <c r="J151" s="60"/>
      <c r="K151" s="60"/>
      <c r="L151" s="60"/>
      <c r="M151" s="60"/>
    </row>
    <row r="152" spans="5:13" x14ac:dyDescent="0.25">
      <c r="E152" s="60"/>
      <c r="F152" s="60"/>
      <c r="G152" s="60"/>
      <c r="H152" s="60"/>
      <c r="I152" s="60"/>
      <c r="J152" s="60"/>
      <c r="K152" s="60"/>
      <c r="L152" s="60"/>
      <c r="M152" s="60"/>
    </row>
    <row r="153" spans="5:13" x14ac:dyDescent="0.25">
      <c r="E153" s="60"/>
      <c r="F153" s="60"/>
      <c r="G153" s="60"/>
      <c r="H153" s="60"/>
      <c r="I153" s="60"/>
      <c r="J153" s="60"/>
      <c r="K153" s="60"/>
      <c r="L153" s="60"/>
      <c r="M153" s="60"/>
    </row>
    <row r="154" spans="5:13" x14ac:dyDescent="0.25">
      <c r="E154" s="60"/>
      <c r="F154" s="60"/>
      <c r="G154" s="60"/>
      <c r="H154" s="60"/>
      <c r="I154" s="60"/>
      <c r="J154" s="60"/>
      <c r="K154" s="60"/>
      <c r="L154" s="60"/>
      <c r="M154" s="60"/>
    </row>
    <row r="155" spans="5:13" x14ac:dyDescent="0.25">
      <c r="E155" s="60"/>
      <c r="F155" s="60"/>
      <c r="G155" s="60"/>
      <c r="H155" s="60"/>
      <c r="I155" s="60"/>
      <c r="J155" s="60"/>
      <c r="K155" s="60"/>
      <c r="L155" s="60"/>
      <c r="M155" s="60"/>
    </row>
    <row r="156" spans="5:13" x14ac:dyDescent="0.25">
      <c r="E156" s="60"/>
      <c r="F156" s="60"/>
      <c r="G156" s="60"/>
      <c r="H156" s="60"/>
      <c r="I156" s="60"/>
      <c r="J156" s="60"/>
      <c r="K156" s="60"/>
      <c r="L156" s="60"/>
      <c r="M156" s="60"/>
    </row>
    <row r="157" spans="5:13" x14ac:dyDescent="0.25">
      <c r="E157" s="60"/>
      <c r="F157" s="60"/>
      <c r="G157" s="60"/>
      <c r="H157" s="60"/>
      <c r="I157" s="60"/>
      <c r="J157" s="60"/>
      <c r="K157" s="60"/>
      <c r="L157" s="60"/>
      <c r="M157" s="60"/>
    </row>
    <row r="158" spans="5:13" x14ac:dyDescent="0.25">
      <c r="E158" s="60"/>
      <c r="F158" s="60"/>
      <c r="G158" s="60"/>
      <c r="H158" s="60"/>
      <c r="I158" s="60"/>
      <c r="J158" s="60"/>
      <c r="K158" s="60"/>
      <c r="L158" s="60"/>
      <c r="M158" s="60"/>
    </row>
    <row r="159" spans="5:13" x14ac:dyDescent="0.25">
      <c r="E159" s="60"/>
      <c r="F159" s="60"/>
      <c r="G159" s="60"/>
      <c r="H159" s="60"/>
      <c r="I159" s="60"/>
      <c r="J159" s="60"/>
      <c r="K159" s="60"/>
      <c r="L159" s="60"/>
      <c r="M159" s="60"/>
    </row>
    <row r="160" spans="5:13" x14ac:dyDescent="0.25">
      <c r="E160" s="60"/>
      <c r="F160" s="60"/>
      <c r="G160" s="60"/>
      <c r="H160" s="60"/>
      <c r="I160" s="60"/>
      <c r="J160" s="60"/>
      <c r="K160" s="60"/>
      <c r="L160" s="60"/>
      <c r="M160" s="60"/>
    </row>
    <row r="161" spans="5:13" x14ac:dyDescent="0.25">
      <c r="E161" s="60"/>
      <c r="F161" s="60"/>
      <c r="G161" s="60"/>
      <c r="H161" s="60"/>
      <c r="I161" s="60"/>
      <c r="J161" s="60"/>
      <c r="K161" s="60"/>
      <c r="L161" s="60"/>
      <c r="M161" s="60"/>
    </row>
    <row r="162" spans="5:13" x14ac:dyDescent="0.25">
      <c r="E162" s="60"/>
      <c r="F162" s="60"/>
      <c r="G162" s="60"/>
      <c r="H162" s="60"/>
      <c r="I162" s="60"/>
      <c r="J162" s="60"/>
      <c r="K162" s="60"/>
      <c r="L162" s="60"/>
      <c r="M162" s="60"/>
    </row>
    <row r="163" spans="5:13" x14ac:dyDescent="0.25">
      <c r="E163" s="60"/>
      <c r="F163" s="60"/>
      <c r="G163" s="60"/>
      <c r="H163" s="60"/>
      <c r="I163" s="60"/>
      <c r="J163" s="60"/>
      <c r="K163" s="60"/>
      <c r="L163" s="60"/>
      <c r="M163" s="60"/>
    </row>
    <row r="164" spans="5:13" x14ac:dyDescent="0.25">
      <c r="E164" s="60"/>
      <c r="F164" s="60"/>
      <c r="G164" s="60"/>
      <c r="H164" s="60"/>
      <c r="I164" s="60"/>
      <c r="J164" s="60"/>
      <c r="K164" s="60"/>
      <c r="L164" s="60"/>
      <c r="M164" s="60"/>
    </row>
    <row r="165" spans="5:13" x14ac:dyDescent="0.25">
      <c r="E165" s="60"/>
      <c r="F165" s="60"/>
      <c r="G165" s="60"/>
      <c r="H165" s="60"/>
      <c r="I165" s="60"/>
      <c r="J165" s="60"/>
      <c r="K165" s="60"/>
      <c r="L165" s="60"/>
      <c r="M165" s="60"/>
    </row>
    <row r="166" spans="5:13" x14ac:dyDescent="0.25">
      <c r="E166" s="60"/>
      <c r="F166" s="60"/>
      <c r="G166" s="60"/>
      <c r="H166" s="60"/>
      <c r="I166" s="60"/>
      <c r="J166" s="60"/>
      <c r="K166" s="60"/>
      <c r="L166" s="60"/>
      <c r="M166" s="60"/>
    </row>
    <row r="167" spans="5:13" x14ac:dyDescent="0.25">
      <c r="E167" s="60"/>
      <c r="F167" s="60"/>
      <c r="G167" s="60"/>
      <c r="H167" s="60"/>
      <c r="I167" s="60"/>
      <c r="J167" s="60"/>
      <c r="K167" s="60"/>
      <c r="L167" s="60"/>
      <c r="M167" s="60"/>
    </row>
    <row r="168" spans="5:13" x14ac:dyDescent="0.25">
      <c r="E168" s="60"/>
      <c r="F168" s="60"/>
      <c r="G168" s="60"/>
      <c r="H168" s="60"/>
      <c r="I168" s="60"/>
      <c r="J168" s="60"/>
      <c r="K168" s="60"/>
      <c r="L168" s="60"/>
      <c r="M168" s="60"/>
    </row>
    <row r="169" spans="5:13" x14ac:dyDescent="0.25">
      <c r="E169" s="60"/>
      <c r="F169" s="60"/>
      <c r="G169" s="60"/>
      <c r="H169" s="60"/>
      <c r="I169" s="60"/>
      <c r="J169" s="60"/>
      <c r="K169" s="60"/>
      <c r="L169" s="60"/>
      <c r="M169" s="60"/>
    </row>
    <row r="170" spans="5:13" x14ac:dyDescent="0.25">
      <c r="E170" s="60"/>
      <c r="F170" s="60"/>
      <c r="G170" s="60"/>
      <c r="H170" s="60"/>
      <c r="I170" s="60"/>
      <c r="J170" s="60"/>
      <c r="K170" s="60"/>
      <c r="L170" s="60"/>
      <c r="M170" s="60"/>
    </row>
    <row r="171" spans="5:13" x14ac:dyDescent="0.25">
      <c r="E171" s="60"/>
      <c r="F171" s="60"/>
      <c r="G171" s="60"/>
      <c r="H171" s="60"/>
      <c r="I171" s="60"/>
      <c r="J171" s="60"/>
      <c r="K171" s="60"/>
      <c r="L171" s="60"/>
      <c r="M171" s="60"/>
    </row>
    <row r="172" spans="5:13" x14ac:dyDescent="0.25">
      <c r="E172" s="60"/>
      <c r="F172" s="60"/>
      <c r="G172" s="60"/>
      <c r="H172" s="60"/>
      <c r="I172" s="60"/>
      <c r="J172" s="60"/>
      <c r="K172" s="60"/>
      <c r="L172" s="60"/>
      <c r="M172" s="60"/>
    </row>
    <row r="173" spans="5:13" x14ac:dyDescent="0.25">
      <c r="E173" s="60"/>
      <c r="F173" s="60"/>
      <c r="G173" s="60"/>
      <c r="H173" s="60"/>
      <c r="I173" s="60"/>
      <c r="J173" s="60"/>
      <c r="K173" s="60"/>
      <c r="L173" s="60"/>
      <c r="M173" s="60"/>
    </row>
    <row r="174" spans="5:13" x14ac:dyDescent="0.25">
      <c r="E174" s="60"/>
      <c r="F174" s="60"/>
      <c r="G174" s="60"/>
      <c r="H174" s="60"/>
      <c r="I174" s="60"/>
      <c r="J174" s="60"/>
      <c r="K174" s="60"/>
      <c r="L174" s="60"/>
      <c r="M174" s="60"/>
    </row>
    <row r="175" spans="5:13" x14ac:dyDescent="0.25">
      <c r="E175" s="60"/>
      <c r="F175" s="60"/>
      <c r="G175" s="60"/>
      <c r="H175" s="60"/>
      <c r="I175" s="60"/>
      <c r="J175" s="60"/>
      <c r="K175" s="60"/>
      <c r="L175" s="60"/>
      <c r="M175" s="60"/>
    </row>
    <row r="176" spans="5:13" x14ac:dyDescent="0.25">
      <c r="E176" s="60"/>
      <c r="F176" s="60"/>
      <c r="G176" s="60"/>
      <c r="H176" s="60"/>
      <c r="I176" s="60"/>
      <c r="J176" s="60"/>
      <c r="K176" s="60"/>
      <c r="L176" s="60"/>
      <c r="M176" s="60"/>
    </row>
    <row r="177" spans="5:13" x14ac:dyDescent="0.25">
      <c r="E177" s="60"/>
      <c r="F177" s="60"/>
      <c r="G177" s="60"/>
      <c r="H177" s="60"/>
      <c r="I177" s="60"/>
      <c r="J177" s="60"/>
      <c r="K177" s="60"/>
      <c r="L177" s="60"/>
      <c r="M177" s="60"/>
    </row>
    <row r="178" spans="5:13" x14ac:dyDescent="0.25">
      <c r="E178" s="60"/>
      <c r="F178" s="60"/>
      <c r="G178" s="60"/>
      <c r="H178" s="60"/>
      <c r="I178" s="60"/>
      <c r="J178" s="60"/>
      <c r="K178" s="60"/>
      <c r="L178" s="60"/>
      <c r="M178" s="60"/>
    </row>
    <row r="179" spans="5:13" x14ac:dyDescent="0.25">
      <c r="E179" s="60"/>
      <c r="F179" s="60"/>
      <c r="G179" s="60"/>
      <c r="H179" s="60"/>
      <c r="I179" s="60"/>
      <c r="J179" s="60"/>
      <c r="K179" s="60"/>
      <c r="L179" s="60"/>
      <c r="M179" s="60"/>
    </row>
    <row r="180" spans="5:13" x14ac:dyDescent="0.25">
      <c r="E180" s="60"/>
      <c r="F180" s="60"/>
      <c r="G180" s="60"/>
      <c r="H180" s="60"/>
      <c r="I180" s="60"/>
      <c r="J180" s="60"/>
      <c r="K180" s="60"/>
      <c r="L180" s="60"/>
      <c r="M180" s="60"/>
    </row>
    <row r="181" spans="5:13" x14ac:dyDescent="0.25">
      <c r="E181" s="60"/>
      <c r="F181" s="60"/>
      <c r="G181" s="60"/>
      <c r="H181" s="60"/>
      <c r="I181" s="60"/>
      <c r="J181" s="60"/>
      <c r="K181" s="60"/>
      <c r="L181" s="60"/>
      <c r="M181" s="60"/>
    </row>
    <row r="182" spans="5:13" x14ac:dyDescent="0.25">
      <c r="E182" s="60"/>
      <c r="F182" s="60"/>
      <c r="G182" s="60"/>
      <c r="H182" s="60"/>
      <c r="I182" s="60"/>
      <c r="J182" s="60"/>
      <c r="K182" s="60"/>
      <c r="L182" s="60"/>
      <c r="M182" s="60"/>
    </row>
    <row r="183" spans="5:13" x14ac:dyDescent="0.25">
      <c r="E183" s="60"/>
      <c r="F183" s="60"/>
      <c r="G183" s="60"/>
      <c r="H183" s="60"/>
      <c r="I183" s="60"/>
      <c r="J183" s="60"/>
      <c r="K183" s="60"/>
      <c r="L183" s="60"/>
      <c r="M183" s="60"/>
    </row>
    <row r="184" spans="5:13" x14ac:dyDescent="0.25">
      <c r="E184" s="60"/>
      <c r="F184" s="60"/>
      <c r="G184" s="60"/>
      <c r="H184" s="60"/>
      <c r="I184" s="60"/>
      <c r="J184" s="60"/>
      <c r="K184" s="60"/>
      <c r="L184" s="60"/>
      <c r="M184" s="60"/>
    </row>
    <row r="185" spans="5:13" x14ac:dyDescent="0.25">
      <c r="E185" s="60"/>
      <c r="F185" s="60"/>
      <c r="G185" s="60"/>
      <c r="H185" s="60"/>
      <c r="I185" s="60"/>
      <c r="J185" s="60"/>
      <c r="K185" s="60"/>
      <c r="L185" s="60"/>
      <c r="M185" s="60"/>
    </row>
    <row r="186" spans="5:13" x14ac:dyDescent="0.25">
      <c r="E186" s="60"/>
      <c r="F186" s="60"/>
      <c r="G186" s="60"/>
      <c r="H186" s="60"/>
      <c r="I186" s="60"/>
      <c r="J186" s="60"/>
      <c r="K186" s="60"/>
      <c r="L186" s="60"/>
      <c r="M186" s="60"/>
    </row>
    <row r="187" spans="5:13" x14ac:dyDescent="0.25">
      <c r="E187" s="60"/>
      <c r="F187" s="60"/>
      <c r="G187" s="60"/>
      <c r="H187" s="60"/>
      <c r="I187" s="60"/>
      <c r="J187" s="60"/>
      <c r="K187" s="60"/>
      <c r="L187" s="60"/>
      <c r="M187" s="60"/>
    </row>
    <row r="188" spans="5:13" x14ac:dyDescent="0.25">
      <c r="E188" s="60"/>
      <c r="F188" s="60"/>
      <c r="G188" s="60"/>
      <c r="H188" s="60"/>
      <c r="I188" s="60"/>
      <c r="J188" s="60"/>
      <c r="K188" s="60"/>
      <c r="L188" s="60"/>
      <c r="M188" s="60"/>
    </row>
    <row r="189" spans="5:13" x14ac:dyDescent="0.25">
      <c r="E189" s="60"/>
      <c r="F189" s="60"/>
      <c r="G189" s="60"/>
      <c r="H189" s="60"/>
      <c r="I189" s="60"/>
      <c r="J189" s="60"/>
      <c r="K189" s="60"/>
      <c r="L189" s="60"/>
      <c r="M189" s="60"/>
    </row>
    <row r="190" spans="5:13" x14ac:dyDescent="0.25">
      <c r="E190" s="60"/>
      <c r="F190" s="60"/>
      <c r="G190" s="60"/>
      <c r="H190" s="60"/>
      <c r="I190" s="60"/>
      <c r="J190" s="60"/>
      <c r="K190" s="60"/>
      <c r="L190" s="60"/>
      <c r="M190" s="60"/>
    </row>
    <row r="191" spans="5:13" x14ac:dyDescent="0.25">
      <c r="E191" s="60"/>
      <c r="F191" s="60"/>
      <c r="G191" s="60"/>
      <c r="H191" s="60"/>
      <c r="I191" s="60"/>
      <c r="J191" s="60"/>
      <c r="K191" s="60"/>
      <c r="L191" s="60"/>
      <c r="M191" s="60"/>
    </row>
    <row r="192" spans="5:13" x14ac:dyDescent="0.25">
      <c r="E192" s="60"/>
      <c r="F192" s="60"/>
      <c r="G192" s="60"/>
      <c r="H192" s="60"/>
      <c r="I192" s="60"/>
      <c r="J192" s="60"/>
      <c r="K192" s="60"/>
      <c r="L192" s="60"/>
      <c r="M192" s="60"/>
    </row>
    <row r="193" spans="5:13" x14ac:dyDescent="0.25">
      <c r="E193" s="60"/>
      <c r="F193" s="60"/>
      <c r="G193" s="60"/>
      <c r="H193" s="60"/>
      <c r="I193" s="60"/>
      <c r="J193" s="60"/>
      <c r="K193" s="60"/>
      <c r="L193" s="60"/>
      <c r="M193" s="60"/>
    </row>
    <row r="194" spans="5:13" x14ac:dyDescent="0.25">
      <c r="E194" s="60"/>
      <c r="F194" s="60"/>
      <c r="G194" s="60"/>
      <c r="H194" s="60"/>
      <c r="I194" s="60"/>
      <c r="J194" s="60"/>
      <c r="K194" s="60"/>
      <c r="L194" s="60"/>
      <c r="M194" s="60"/>
    </row>
    <row r="195" spans="5:13" x14ac:dyDescent="0.25">
      <c r="E195" s="60"/>
      <c r="F195" s="60"/>
      <c r="G195" s="60"/>
      <c r="H195" s="60"/>
      <c r="I195" s="60"/>
      <c r="J195" s="60"/>
      <c r="K195" s="60"/>
      <c r="L195" s="60"/>
      <c r="M195" s="60"/>
    </row>
    <row r="196" spans="5:13" x14ac:dyDescent="0.25">
      <c r="E196" s="60"/>
      <c r="F196" s="60"/>
      <c r="G196" s="60"/>
      <c r="H196" s="60"/>
      <c r="I196" s="60"/>
      <c r="J196" s="60"/>
      <c r="K196" s="60"/>
      <c r="L196" s="60"/>
      <c r="M196" s="60"/>
    </row>
    <row r="197" spans="5:13" x14ac:dyDescent="0.25">
      <c r="E197" s="60"/>
      <c r="F197" s="60"/>
      <c r="G197" s="60"/>
      <c r="H197" s="60"/>
      <c r="I197" s="60"/>
      <c r="J197" s="60"/>
      <c r="K197" s="60"/>
      <c r="L197" s="60"/>
      <c r="M197" s="60"/>
    </row>
    <row r="198" spans="5:13" x14ac:dyDescent="0.25">
      <c r="E198" s="60"/>
      <c r="F198" s="60"/>
      <c r="G198" s="60"/>
      <c r="H198" s="60"/>
      <c r="I198" s="60"/>
      <c r="J198" s="60"/>
      <c r="K198" s="60"/>
      <c r="L198" s="60"/>
      <c r="M198" s="60"/>
    </row>
    <row r="199" spans="5:13" x14ac:dyDescent="0.25">
      <c r="E199" s="60"/>
      <c r="F199" s="60"/>
      <c r="G199" s="60"/>
      <c r="H199" s="60"/>
      <c r="I199" s="60"/>
      <c r="J199" s="60"/>
      <c r="K199" s="60"/>
      <c r="L199" s="60"/>
      <c r="M199" s="60"/>
    </row>
    <row r="200" spans="5:13" x14ac:dyDescent="0.25">
      <c r="E200" s="60"/>
      <c r="F200" s="60"/>
      <c r="G200" s="60"/>
      <c r="H200" s="60"/>
      <c r="I200" s="60"/>
      <c r="J200" s="60"/>
      <c r="K200" s="60"/>
      <c r="L200" s="60"/>
      <c r="M200" s="60"/>
    </row>
    <row r="201" spans="5:13" x14ac:dyDescent="0.25">
      <c r="E201" s="60"/>
      <c r="F201" s="60"/>
      <c r="G201" s="60"/>
      <c r="H201" s="60"/>
      <c r="I201" s="60"/>
      <c r="J201" s="60"/>
      <c r="K201" s="60"/>
      <c r="L201" s="60"/>
      <c r="M201" s="60"/>
    </row>
    <row r="202" spans="5:13" x14ac:dyDescent="0.25">
      <c r="E202" s="60"/>
      <c r="F202" s="60"/>
      <c r="G202" s="60"/>
      <c r="H202" s="60"/>
      <c r="I202" s="60"/>
      <c r="J202" s="60"/>
      <c r="K202" s="60"/>
      <c r="L202" s="60"/>
      <c r="M202" s="60"/>
    </row>
    <row r="203" spans="5:13" x14ac:dyDescent="0.25">
      <c r="E203" s="60"/>
      <c r="F203" s="60"/>
      <c r="G203" s="60"/>
      <c r="H203" s="60"/>
      <c r="I203" s="60"/>
      <c r="J203" s="60"/>
      <c r="K203" s="60"/>
      <c r="L203" s="60"/>
      <c r="M203" s="60"/>
    </row>
    <row r="204" spans="5:13" x14ac:dyDescent="0.25">
      <c r="E204" s="60"/>
      <c r="F204" s="60"/>
      <c r="G204" s="60"/>
      <c r="H204" s="60"/>
      <c r="I204" s="60"/>
      <c r="J204" s="60"/>
      <c r="K204" s="60"/>
      <c r="L204" s="60"/>
      <c r="M204" s="60"/>
    </row>
    <row r="205" spans="5:13" x14ac:dyDescent="0.25">
      <c r="E205" s="60"/>
      <c r="F205" s="60"/>
      <c r="G205" s="60"/>
      <c r="H205" s="60"/>
      <c r="I205" s="60"/>
      <c r="J205" s="60"/>
      <c r="K205" s="60"/>
      <c r="L205" s="60"/>
      <c r="M205" s="60"/>
    </row>
    <row r="206" spans="5:13" x14ac:dyDescent="0.25">
      <c r="E206" s="60"/>
      <c r="F206" s="60"/>
      <c r="G206" s="60"/>
      <c r="H206" s="60"/>
      <c r="I206" s="60"/>
      <c r="J206" s="60"/>
      <c r="K206" s="60"/>
      <c r="L206" s="60"/>
      <c r="M206" s="60"/>
    </row>
    <row r="207" spans="5:13" x14ac:dyDescent="0.25">
      <c r="E207" s="60"/>
      <c r="F207" s="60"/>
      <c r="G207" s="60"/>
      <c r="H207" s="60"/>
      <c r="I207" s="60"/>
      <c r="J207" s="60"/>
      <c r="K207" s="60"/>
      <c r="L207" s="60"/>
      <c r="M207" s="60"/>
    </row>
    <row r="208" spans="5:13" x14ac:dyDescent="0.25">
      <c r="E208" s="60"/>
      <c r="F208" s="60"/>
      <c r="G208" s="60"/>
      <c r="H208" s="60"/>
      <c r="I208" s="60"/>
      <c r="J208" s="60"/>
      <c r="K208" s="60"/>
      <c r="L208" s="60"/>
      <c r="M208" s="60"/>
    </row>
    <row r="209" spans="5:13" x14ac:dyDescent="0.25">
      <c r="E209" s="60"/>
      <c r="F209" s="60"/>
      <c r="G209" s="60"/>
      <c r="H209" s="60"/>
      <c r="I209" s="60"/>
      <c r="J209" s="60"/>
      <c r="K209" s="60"/>
      <c r="L209" s="60"/>
      <c r="M209" s="60"/>
    </row>
    <row r="210" spans="5:13" x14ac:dyDescent="0.25">
      <c r="E210" s="60"/>
      <c r="F210" s="60"/>
      <c r="G210" s="60"/>
      <c r="H210" s="60"/>
      <c r="I210" s="60"/>
      <c r="J210" s="60"/>
      <c r="K210" s="60"/>
      <c r="L210" s="60"/>
      <c r="M210" s="60"/>
    </row>
    <row r="211" spans="5:13" x14ac:dyDescent="0.25">
      <c r="E211" s="60"/>
      <c r="F211" s="60"/>
      <c r="G211" s="60"/>
      <c r="H211" s="60"/>
      <c r="I211" s="60"/>
      <c r="J211" s="60"/>
      <c r="K211" s="60"/>
      <c r="L211" s="60"/>
      <c r="M211" s="60"/>
    </row>
    <row r="212" spans="5:13" x14ac:dyDescent="0.25">
      <c r="E212" s="60"/>
      <c r="F212" s="60"/>
      <c r="G212" s="60"/>
      <c r="H212" s="60"/>
      <c r="I212" s="60"/>
      <c r="J212" s="60"/>
      <c r="K212" s="60"/>
      <c r="L212" s="60"/>
      <c r="M212" s="60"/>
    </row>
    <row r="213" spans="5:13" x14ac:dyDescent="0.25">
      <c r="E213" s="60"/>
      <c r="F213" s="60"/>
      <c r="G213" s="60"/>
      <c r="H213" s="60"/>
      <c r="I213" s="60"/>
      <c r="J213" s="60"/>
      <c r="K213" s="60"/>
      <c r="L213" s="60"/>
      <c r="M213" s="60"/>
    </row>
    <row r="214" spans="5:13" x14ac:dyDescent="0.25">
      <c r="E214" s="60"/>
      <c r="F214" s="60"/>
      <c r="G214" s="60"/>
      <c r="H214" s="60"/>
      <c r="I214" s="60"/>
      <c r="J214" s="60"/>
      <c r="K214" s="60"/>
      <c r="L214" s="60"/>
      <c r="M214" s="60"/>
    </row>
    <row r="215" spans="5:13" x14ac:dyDescent="0.25">
      <c r="E215" s="60"/>
      <c r="F215" s="60"/>
      <c r="G215" s="60"/>
      <c r="H215" s="60"/>
      <c r="I215" s="60"/>
      <c r="J215" s="60"/>
      <c r="K215" s="60"/>
      <c r="L215" s="60"/>
      <c r="M215" s="60"/>
    </row>
    <row r="216" spans="5:13" x14ac:dyDescent="0.25">
      <c r="E216" s="60"/>
      <c r="F216" s="60"/>
      <c r="G216" s="60"/>
      <c r="H216" s="60"/>
      <c r="I216" s="60"/>
      <c r="J216" s="60"/>
      <c r="K216" s="60"/>
      <c r="L216" s="60"/>
      <c r="M216" s="60"/>
    </row>
    <row r="217" spans="5:13" x14ac:dyDescent="0.25">
      <c r="E217" s="60"/>
      <c r="F217" s="60"/>
      <c r="G217" s="60"/>
      <c r="H217" s="60"/>
      <c r="I217" s="60"/>
      <c r="J217" s="60"/>
      <c r="K217" s="60"/>
      <c r="L217" s="60"/>
      <c r="M217" s="60"/>
    </row>
    <row r="218" spans="5:13" x14ac:dyDescent="0.25">
      <c r="E218" s="60"/>
      <c r="F218" s="60"/>
      <c r="G218" s="60"/>
      <c r="H218" s="60"/>
      <c r="I218" s="60"/>
      <c r="J218" s="60"/>
      <c r="K218" s="60"/>
      <c r="L218" s="60"/>
      <c r="M218" s="60"/>
    </row>
    <row r="219" spans="5:13" x14ac:dyDescent="0.25">
      <c r="E219" s="60"/>
      <c r="F219" s="60"/>
      <c r="G219" s="60"/>
      <c r="H219" s="60"/>
      <c r="I219" s="60"/>
      <c r="J219" s="60"/>
      <c r="K219" s="60"/>
      <c r="L219" s="60"/>
      <c r="M219" s="60"/>
    </row>
    <row r="220" spans="5:13" x14ac:dyDescent="0.25">
      <c r="E220" s="60"/>
      <c r="F220" s="60"/>
      <c r="G220" s="60"/>
      <c r="H220" s="60"/>
      <c r="I220" s="60"/>
      <c r="J220" s="60"/>
      <c r="K220" s="60"/>
      <c r="L220" s="60"/>
      <c r="M220" s="60"/>
    </row>
    <row r="221" spans="5:13" x14ac:dyDescent="0.25">
      <c r="E221" s="60"/>
      <c r="F221" s="60"/>
      <c r="G221" s="60"/>
      <c r="H221" s="60"/>
      <c r="I221" s="60"/>
      <c r="J221" s="60"/>
      <c r="K221" s="60"/>
      <c r="L221" s="60"/>
      <c r="M221" s="60"/>
    </row>
    <row r="222" spans="5:13" x14ac:dyDescent="0.25">
      <c r="E222" s="60"/>
      <c r="F222" s="60"/>
      <c r="G222" s="60"/>
      <c r="H222" s="60"/>
      <c r="I222" s="60"/>
      <c r="J222" s="60"/>
      <c r="K222" s="60"/>
      <c r="L222" s="60"/>
      <c r="M222" s="60"/>
    </row>
    <row r="223" spans="5:13" x14ac:dyDescent="0.25">
      <c r="E223" s="60"/>
      <c r="F223" s="60"/>
      <c r="G223" s="60"/>
      <c r="H223" s="60"/>
      <c r="I223" s="60"/>
      <c r="J223" s="60"/>
      <c r="K223" s="60"/>
      <c r="L223" s="60"/>
      <c r="M223" s="60"/>
    </row>
    <row r="224" spans="5:13" x14ac:dyDescent="0.25">
      <c r="E224" s="60"/>
      <c r="F224" s="60"/>
      <c r="G224" s="60"/>
      <c r="H224" s="60"/>
      <c r="I224" s="60"/>
      <c r="J224" s="60"/>
      <c r="K224" s="60"/>
      <c r="L224" s="60"/>
      <c r="M224" s="60"/>
    </row>
    <row r="225" spans="5:13" x14ac:dyDescent="0.25">
      <c r="E225" s="60"/>
      <c r="F225" s="60"/>
      <c r="G225" s="60"/>
      <c r="H225" s="60"/>
      <c r="I225" s="60"/>
      <c r="J225" s="60"/>
      <c r="K225" s="60"/>
      <c r="L225" s="60"/>
      <c r="M225" s="60"/>
    </row>
    <row r="226" spans="5:13" x14ac:dyDescent="0.25">
      <c r="E226" s="60"/>
      <c r="F226" s="60"/>
      <c r="G226" s="60"/>
      <c r="H226" s="60"/>
      <c r="I226" s="60"/>
      <c r="J226" s="60"/>
      <c r="K226" s="60"/>
      <c r="L226" s="60"/>
      <c r="M226" s="60"/>
    </row>
    <row r="227" spans="5:13" x14ac:dyDescent="0.25">
      <c r="E227" s="60"/>
      <c r="F227" s="60"/>
      <c r="G227" s="60"/>
      <c r="H227" s="60"/>
      <c r="I227" s="60"/>
      <c r="J227" s="60"/>
      <c r="K227" s="60"/>
      <c r="L227" s="60"/>
      <c r="M227" s="60"/>
    </row>
    <row r="228" spans="5:13" x14ac:dyDescent="0.25">
      <c r="E228" s="60"/>
      <c r="F228" s="60"/>
      <c r="G228" s="60"/>
      <c r="H228" s="60"/>
      <c r="I228" s="60"/>
      <c r="J228" s="60"/>
      <c r="K228" s="60"/>
      <c r="L228" s="60"/>
      <c r="M228" s="60"/>
    </row>
    <row r="229" spans="5:13" x14ac:dyDescent="0.25">
      <c r="E229" s="60"/>
      <c r="F229" s="60"/>
      <c r="G229" s="60"/>
      <c r="H229" s="60"/>
      <c r="I229" s="60"/>
      <c r="J229" s="60"/>
      <c r="K229" s="60"/>
      <c r="L229" s="60"/>
      <c r="M229" s="60"/>
    </row>
    <row r="230" spans="5:13" x14ac:dyDescent="0.25">
      <c r="E230" s="60"/>
      <c r="F230" s="60"/>
      <c r="G230" s="60"/>
      <c r="H230" s="60"/>
      <c r="I230" s="60"/>
      <c r="J230" s="60"/>
      <c r="K230" s="60"/>
      <c r="L230" s="60"/>
      <c r="M230" s="60"/>
    </row>
    <row r="231" spans="5:13" x14ac:dyDescent="0.25">
      <c r="E231" s="60"/>
      <c r="F231" s="60"/>
      <c r="G231" s="60"/>
      <c r="H231" s="60"/>
      <c r="I231" s="60"/>
      <c r="J231" s="60"/>
      <c r="K231" s="60"/>
      <c r="L231" s="60"/>
      <c r="M231" s="60"/>
    </row>
    <row r="232" spans="5:13" x14ac:dyDescent="0.25">
      <c r="E232" s="60"/>
      <c r="F232" s="60"/>
      <c r="G232" s="60"/>
      <c r="H232" s="60"/>
      <c r="I232" s="60"/>
      <c r="J232" s="60"/>
      <c r="K232" s="60"/>
      <c r="L232" s="60"/>
      <c r="M232" s="60"/>
    </row>
    <row r="233" spans="5:13" x14ac:dyDescent="0.25">
      <c r="E233" s="60"/>
      <c r="F233" s="60"/>
      <c r="G233" s="60"/>
      <c r="H233" s="60"/>
      <c r="I233" s="60"/>
      <c r="J233" s="60"/>
      <c r="K233" s="60"/>
      <c r="L233" s="60"/>
      <c r="M233" s="60"/>
    </row>
    <row r="234" spans="5:13" x14ac:dyDescent="0.25">
      <c r="E234" s="60"/>
      <c r="F234" s="60"/>
      <c r="G234" s="60"/>
      <c r="H234" s="60"/>
      <c r="I234" s="60"/>
      <c r="J234" s="60"/>
      <c r="K234" s="60"/>
      <c r="L234" s="60"/>
      <c r="M234" s="60"/>
    </row>
    <row r="235" spans="5:13" x14ac:dyDescent="0.25">
      <c r="E235" s="60"/>
      <c r="F235" s="60"/>
      <c r="G235" s="60"/>
      <c r="H235" s="60"/>
      <c r="I235" s="60"/>
      <c r="J235" s="60"/>
      <c r="K235" s="60"/>
      <c r="L235" s="60"/>
      <c r="M235" s="60"/>
    </row>
    <row r="236" spans="5:13" x14ac:dyDescent="0.25">
      <c r="E236" s="60"/>
      <c r="F236" s="60"/>
      <c r="G236" s="60"/>
      <c r="H236" s="60"/>
      <c r="I236" s="60"/>
      <c r="J236" s="60"/>
      <c r="K236" s="60"/>
      <c r="L236" s="60"/>
      <c r="M236" s="60"/>
    </row>
    <row r="237" spans="5:13" x14ac:dyDescent="0.25">
      <c r="E237" s="60"/>
      <c r="F237" s="60"/>
      <c r="G237" s="60"/>
      <c r="H237" s="60"/>
      <c r="I237" s="60"/>
      <c r="J237" s="60"/>
      <c r="K237" s="60"/>
      <c r="L237" s="60"/>
      <c r="M237" s="60"/>
    </row>
    <row r="238" spans="5:13" x14ac:dyDescent="0.25">
      <c r="E238" s="60"/>
      <c r="F238" s="60"/>
      <c r="G238" s="60"/>
      <c r="H238" s="60"/>
      <c r="I238" s="60"/>
      <c r="J238" s="60"/>
      <c r="K238" s="60"/>
      <c r="L238" s="60"/>
      <c r="M238" s="60"/>
    </row>
    <row r="239" spans="5:13" x14ac:dyDescent="0.25">
      <c r="E239" s="60"/>
      <c r="F239" s="60"/>
      <c r="G239" s="60"/>
      <c r="H239" s="60"/>
      <c r="I239" s="60"/>
      <c r="J239" s="60"/>
      <c r="K239" s="60"/>
      <c r="L239" s="60"/>
      <c r="M239" s="60"/>
    </row>
    <row r="240" spans="5:13" x14ac:dyDescent="0.25">
      <c r="E240" s="60"/>
      <c r="F240" s="60"/>
      <c r="G240" s="60"/>
      <c r="H240" s="60"/>
      <c r="I240" s="60"/>
      <c r="J240" s="60"/>
      <c r="K240" s="60"/>
      <c r="L240" s="60"/>
      <c r="M240" s="60"/>
    </row>
    <row r="241" spans="5:13" x14ac:dyDescent="0.25">
      <c r="E241" s="60"/>
      <c r="F241" s="60"/>
      <c r="G241" s="60"/>
      <c r="H241" s="60"/>
      <c r="I241" s="60"/>
      <c r="J241" s="60"/>
      <c r="K241" s="60"/>
      <c r="L241" s="60"/>
      <c r="M241" s="60"/>
    </row>
    <row r="242" spans="5:13" x14ac:dyDescent="0.25">
      <c r="E242" s="60"/>
      <c r="F242" s="60"/>
      <c r="G242" s="60"/>
      <c r="H242" s="60"/>
      <c r="I242" s="60"/>
      <c r="J242" s="60"/>
      <c r="K242" s="60"/>
      <c r="L242" s="60"/>
      <c r="M242" s="60"/>
    </row>
    <row r="243" spans="5:13" x14ac:dyDescent="0.25">
      <c r="E243" s="60"/>
      <c r="F243" s="60"/>
      <c r="G243" s="60"/>
      <c r="H243" s="60"/>
      <c r="I243" s="60"/>
      <c r="J243" s="60"/>
      <c r="K243" s="60"/>
      <c r="L243" s="60"/>
      <c r="M243" s="60"/>
    </row>
    <row r="244" spans="5:13" x14ac:dyDescent="0.25">
      <c r="E244" s="60"/>
      <c r="F244" s="60"/>
      <c r="G244" s="60"/>
      <c r="H244" s="60"/>
      <c r="I244" s="60"/>
      <c r="J244" s="60"/>
      <c r="K244" s="60"/>
      <c r="L244" s="60"/>
      <c r="M244" s="60"/>
    </row>
    <row r="245" spans="5:13" x14ac:dyDescent="0.25">
      <c r="E245" s="60"/>
      <c r="F245" s="60"/>
      <c r="G245" s="60"/>
      <c r="H245" s="60"/>
      <c r="I245" s="60"/>
      <c r="J245" s="60"/>
      <c r="K245" s="60"/>
      <c r="L245" s="60"/>
      <c r="M245" s="60"/>
    </row>
    <row r="246" spans="5:13" x14ac:dyDescent="0.25">
      <c r="E246" s="60"/>
      <c r="F246" s="60"/>
      <c r="G246" s="60"/>
      <c r="H246" s="60"/>
      <c r="I246" s="60"/>
      <c r="J246" s="60"/>
      <c r="K246" s="60"/>
      <c r="L246" s="60"/>
      <c r="M246" s="60"/>
    </row>
    <row r="247" spans="5:13" x14ac:dyDescent="0.25">
      <c r="E247" s="60"/>
      <c r="F247" s="60"/>
      <c r="G247" s="60"/>
      <c r="H247" s="60"/>
      <c r="I247" s="60"/>
      <c r="J247" s="60"/>
      <c r="K247" s="60"/>
      <c r="L247" s="60"/>
      <c r="M247" s="60"/>
    </row>
    <row r="248" spans="5:13" x14ac:dyDescent="0.25">
      <c r="E248" s="60"/>
      <c r="F248" s="60"/>
      <c r="G248" s="60"/>
      <c r="H248" s="60"/>
      <c r="I248" s="60"/>
      <c r="J248" s="60"/>
      <c r="K248" s="60"/>
      <c r="L248" s="60"/>
      <c r="M248" s="60"/>
    </row>
    <row r="249" spans="5:13" x14ac:dyDescent="0.25">
      <c r="E249" s="60"/>
      <c r="F249" s="60"/>
      <c r="G249" s="60"/>
      <c r="H249" s="60"/>
      <c r="I249" s="60"/>
      <c r="J249" s="60"/>
      <c r="K249" s="60"/>
      <c r="L249" s="60"/>
      <c r="M249" s="60"/>
    </row>
    <row r="250" spans="5:13" x14ac:dyDescent="0.25">
      <c r="E250" s="60"/>
      <c r="F250" s="60"/>
      <c r="G250" s="60"/>
      <c r="H250" s="60"/>
      <c r="I250" s="60"/>
      <c r="J250" s="60"/>
      <c r="K250" s="60"/>
      <c r="L250" s="60"/>
      <c r="M250" s="60"/>
    </row>
    <row r="251" spans="5:13" x14ac:dyDescent="0.25">
      <c r="E251" s="60"/>
      <c r="F251" s="60"/>
      <c r="G251" s="60"/>
      <c r="H251" s="60"/>
      <c r="I251" s="60"/>
      <c r="J251" s="60"/>
      <c r="K251" s="60"/>
      <c r="L251" s="60"/>
      <c r="M251" s="60"/>
    </row>
    <row r="252" spans="5:13" x14ac:dyDescent="0.25">
      <c r="E252" s="60"/>
      <c r="F252" s="60"/>
      <c r="G252" s="60"/>
      <c r="H252" s="60"/>
      <c r="I252" s="60"/>
      <c r="J252" s="60"/>
      <c r="K252" s="60"/>
      <c r="L252" s="60"/>
      <c r="M252" s="60"/>
    </row>
    <row r="253" spans="5:13" x14ac:dyDescent="0.25">
      <c r="E253" s="60"/>
      <c r="F253" s="60"/>
      <c r="G253" s="60"/>
      <c r="H253" s="60"/>
      <c r="I253" s="60"/>
      <c r="J253" s="60"/>
      <c r="K253" s="60"/>
      <c r="L253" s="60"/>
      <c r="M253" s="60"/>
    </row>
    <row r="254" spans="5:13" x14ac:dyDescent="0.25">
      <c r="E254" s="60"/>
      <c r="F254" s="60"/>
      <c r="G254" s="60"/>
      <c r="H254" s="60"/>
      <c r="I254" s="60"/>
      <c r="J254" s="60"/>
      <c r="K254" s="60"/>
      <c r="L254" s="60"/>
      <c r="M254" s="60"/>
    </row>
    <row r="255" spans="5:13" x14ac:dyDescent="0.25">
      <c r="E255" s="60"/>
      <c r="F255" s="60"/>
      <c r="G255" s="60"/>
      <c r="H255" s="60"/>
      <c r="I255" s="60"/>
      <c r="J255" s="60"/>
      <c r="K255" s="60"/>
      <c r="L255" s="60"/>
      <c r="M255" s="60"/>
    </row>
    <row r="256" spans="5:13" x14ac:dyDescent="0.25">
      <c r="E256" s="60"/>
      <c r="F256" s="60"/>
      <c r="G256" s="60"/>
      <c r="H256" s="60"/>
      <c r="I256" s="60"/>
      <c r="J256" s="60"/>
      <c r="K256" s="60"/>
      <c r="L256" s="60"/>
      <c r="M256" s="60"/>
    </row>
    <row r="257" spans="5:13" x14ac:dyDescent="0.25">
      <c r="E257" s="60"/>
      <c r="F257" s="60"/>
      <c r="G257" s="60"/>
      <c r="H257" s="60"/>
      <c r="I257" s="60"/>
      <c r="J257" s="60"/>
      <c r="K257" s="60"/>
      <c r="L257" s="60"/>
      <c r="M257" s="60"/>
    </row>
    <row r="258" spans="5:13" x14ac:dyDescent="0.25">
      <c r="E258" s="60"/>
      <c r="F258" s="60"/>
      <c r="G258" s="60"/>
      <c r="H258" s="60"/>
      <c r="I258" s="60"/>
      <c r="J258" s="60"/>
      <c r="K258" s="60"/>
      <c r="L258" s="60"/>
      <c r="M258" s="60"/>
    </row>
    <row r="259" spans="5:13" x14ac:dyDescent="0.25">
      <c r="E259" s="60"/>
      <c r="F259" s="60"/>
      <c r="G259" s="60"/>
      <c r="H259" s="60"/>
      <c r="I259" s="60"/>
      <c r="J259" s="60"/>
      <c r="K259" s="60"/>
      <c r="L259" s="60"/>
      <c r="M259" s="60"/>
    </row>
    <row r="260" spans="5:13" x14ac:dyDescent="0.25">
      <c r="E260" s="60"/>
      <c r="F260" s="60"/>
      <c r="G260" s="60"/>
      <c r="H260" s="60"/>
      <c r="I260" s="60"/>
      <c r="J260" s="60"/>
      <c r="K260" s="60"/>
      <c r="L260" s="60"/>
      <c r="M260" s="60"/>
    </row>
    <row r="261" spans="5:13" x14ac:dyDescent="0.25">
      <c r="E261" s="60"/>
      <c r="F261" s="60"/>
      <c r="G261" s="60"/>
      <c r="H261" s="60"/>
      <c r="I261" s="60"/>
      <c r="J261" s="60"/>
      <c r="K261" s="60"/>
      <c r="L261" s="60"/>
      <c r="M261" s="60"/>
    </row>
    <row r="262" spans="5:13" x14ac:dyDescent="0.25">
      <c r="E262" s="60"/>
      <c r="F262" s="60"/>
      <c r="G262" s="60"/>
      <c r="H262" s="60"/>
      <c r="I262" s="60"/>
      <c r="J262" s="60"/>
      <c r="K262" s="60"/>
      <c r="L262" s="60"/>
      <c r="M262" s="60"/>
    </row>
    <row r="263" spans="5:13" x14ac:dyDescent="0.25">
      <c r="E263" s="60"/>
      <c r="F263" s="60"/>
      <c r="G263" s="60"/>
      <c r="H263" s="60"/>
      <c r="I263" s="60"/>
      <c r="J263" s="60"/>
      <c r="K263" s="60"/>
      <c r="L263" s="60"/>
      <c r="M263" s="60"/>
    </row>
    <row r="264" spans="5:13" x14ac:dyDescent="0.25">
      <c r="E264" s="60"/>
      <c r="F264" s="60"/>
      <c r="G264" s="60"/>
      <c r="H264" s="60"/>
      <c r="I264" s="60"/>
      <c r="J264" s="60"/>
      <c r="K264" s="60"/>
      <c r="L264" s="60"/>
      <c r="M264" s="60"/>
    </row>
    <row r="265" spans="5:13" x14ac:dyDescent="0.25">
      <c r="E265" s="60"/>
      <c r="F265" s="60"/>
      <c r="G265" s="60"/>
      <c r="H265" s="60"/>
      <c r="I265" s="60"/>
      <c r="J265" s="60"/>
      <c r="K265" s="60"/>
      <c r="L265" s="60"/>
      <c r="M265" s="60"/>
    </row>
    <row r="266" spans="5:13" x14ac:dyDescent="0.25">
      <c r="E266" s="60"/>
      <c r="F266" s="60"/>
      <c r="G266" s="60"/>
      <c r="H266" s="60"/>
      <c r="I266" s="60"/>
      <c r="J266" s="60"/>
      <c r="K266" s="60"/>
      <c r="L266" s="60"/>
      <c r="M266" s="60"/>
    </row>
    <row r="267" spans="5:13" x14ac:dyDescent="0.25">
      <c r="E267" s="60"/>
      <c r="F267" s="60"/>
      <c r="G267" s="60"/>
      <c r="H267" s="60"/>
      <c r="I267" s="60"/>
      <c r="J267" s="60"/>
      <c r="K267" s="60"/>
      <c r="L267" s="60"/>
      <c r="M267" s="60"/>
    </row>
    <row r="268" spans="5:13" x14ac:dyDescent="0.25">
      <c r="E268" s="60"/>
      <c r="F268" s="60"/>
      <c r="G268" s="60"/>
      <c r="H268" s="60"/>
      <c r="I268" s="60"/>
      <c r="J268" s="60"/>
      <c r="K268" s="60"/>
      <c r="L268" s="60"/>
      <c r="M268" s="60"/>
    </row>
    <row r="269" spans="5:13" x14ac:dyDescent="0.25">
      <c r="E269" s="60"/>
      <c r="F269" s="60"/>
      <c r="G269" s="60"/>
      <c r="H269" s="60"/>
      <c r="I269" s="60"/>
      <c r="J269" s="60"/>
      <c r="K269" s="60"/>
      <c r="L269" s="60"/>
      <c r="M269" s="60"/>
    </row>
    <row r="270" spans="5:13" x14ac:dyDescent="0.25">
      <c r="E270" s="60"/>
      <c r="F270" s="60"/>
      <c r="G270" s="60"/>
      <c r="H270" s="60"/>
      <c r="I270" s="60"/>
      <c r="J270" s="60"/>
      <c r="K270" s="60"/>
      <c r="L270" s="60"/>
      <c r="M270" s="60"/>
    </row>
    <row r="271" spans="5:13" x14ac:dyDescent="0.25">
      <c r="E271" s="60"/>
      <c r="F271" s="60"/>
      <c r="G271" s="60"/>
      <c r="H271" s="60"/>
      <c r="I271" s="60"/>
      <c r="J271" s="60"/>
      <c r="K271" s="60"/>
      <c r="L271" s="60"/>
      <c r="M271" s="60"/>
    </row>
    <row r="272" spans="5:13" x14ac:dyDescent="0.25">
      <c r="E272" s="60"/>
      <c r="F272" s="60"/>
      <c r="G272" s="60"/>
      <c r="H272" s="60"/>
      <c r="I272" s="60"/>
      <c r="J272" s="60"/>
      <c r="K272" s="60"/>
      <c r="L272" s="60"/>
      <c r="M272" s="60"/>
    </row>
    <row r="273" spans="5:13" x14ac:dyDescent="0.25">
      <c r="E273" s="60"/>
      <c r="F273" s="60"/>
      <c r="G273" s="60"/>
      <c r="H273" s="60"/>
      <c r="I273" s="60"/>
      <c r="J273" s="60"/>
      <c r="K273" s="60"/>
      <c r="L273" s="60"/>
      <c r="M273" s="60"/>
    </row>
    <row r="274" spans="5:13" x14ac:dyDescent="0.25">
      <c r="E274" s="60"/>
      <c r="F274" s="60"/>
      <c r="G274" s="60"/>
      <c r="H274" s="60"/>
      <c r="I274" s="60"/>
      <c r="J274" s="60"/>
      <c r="K274" s="60"/>
      <c r="L274" s="60"/>
      <c r="M274" s="60"/>
    </row>
    <row r="275" spans="5:13" x14ac:dyDescent="0.25">
      <c r="E275" s="60"/>
      <c r="F275" s="60"/>
      <c r="G275" s="60"/>
      <c r="H275" s="60"/>
      <c r="I275" s="60"/>
      <c r="J275" s="60"/>
      <c r="K275" s="60"/>
      <c r="L275" s="60"/>
      <c r="M275" s="60"/>
    </row>
    <row r="276" spans="5:13" x14ac:dyDescent="0.25">
      <c r="E276" s="60"/>
      <c r="F276" s="60"/>
      <c r="G276" s="60"/>
      <c r="H276" s="60"/>
      <c r="I276" s="60"/>
      <c r="J276" s="60"/>
      <c r="K276" s="60"/>
      <c r="L276" s="60"/>
      <c r="M276" s="60"/>
    </row>
    <row r="277" spans="5:13" x14ac:dyDescent="0.25">
      <c r="E277" s="60"/>
      <c r="F277" s="60"/>
      <c r="G277" s="60"/>
      <c r="H277" s="60"/>
      <c r="I277" s="60"/>
      <c r="J277" s="60"/>
      <c r="K277" s="60"/>
      <c r="L277" s="60"/>
      <c r="M277" s="60"/>
    </row>
    <row r="278" spans="5:13" x14ac:dyDescent="0.25">
      <c r="E278" s="60"/>
      <c r="F278" s="60"/>
      <c r="G278" s="60"/>
      <c r="H278" s="60"/>
      <c r="I278" s="60"/>
      <c r="J278" s="60"/>
      <c r="K278" s="60"/>
      <c r="L278" s="60"/>
      <c r="M278" s="60"/>
    </row>
    <row r="279" spans="5:13" x14ac:dyDescent="0.25">
      <c r="E279" s="60"/>
      <c r="F279" s="60"/>
      <c r="G279" s="60"/>
      <c r="H279" s="60"/>
      <c r="I279" s="60"/>
      <c r="J279" s="60"/>
      <c r="K279" s="60"/>
      <c r="L279" s="60"/>
      <c r="M279" s="60"/>
    </row>
    <row r="280" spans="5:13" x14ac:dyDescent="0.25">
      <c r="E280" s="60"/>
      <c r="F280" s="60"/>
      <c r="G280" s="60"/>
      <c r="H280" s="60"/>
      <c r="I280" s="60"/>
      <c r="J280" s="60"/>
      <c r="K280" s="60"/>
      <c r="L280" s="60"/>
      <c r="M280" s="60"/>
    </row>
    <row r="281" spans="5:13" x14ac:dyDescent="0.25">
      <c r="E281" s="60"/>
      <c r="F281" s="60"/>
      <c r="G281" s="60"/>
      <c r="H281" s="60"/>
      <c r="I281" s="60"/>
      <c r="J281" s="60"/>
      <c r="K281" s="60"/>
      <c r="L281" s="60"/>
      <c r="M281" s="60"/>
    </row>
    <row r="282" spans="5:13" x14ac:dyDescent="0.25">
      <c r="E282" s="60"/>
      <c r="F282" s="60"/>
      <c r="G282" s="60"/>
      <c r="H282" s="60"/>
      <c r="I282" s="60"/>
      <c r="J282" s="60"/>
      <c r="K282" s="60"/>
      <c r="L282" s="60"/>
      <c r="M282" s="60"/>
    </row>
    <row r="283" spans="5:13" x14ac:dyDescent="0.25">
      <c r="E283" s="60"/>
      <c r="F283" s="60"/>
      <c r="G283" s="60"/>
      <c r="H283" s="60"/>
      <c r="I283" s="60"/>
      <c r="J283" s="60"/>
      <c r="K283" s="60"/>
      <c r="L283" s="60"/>
      <c r="M283" s="60"/>
    </row>
    <row r="284" spans="5:13" x14ac:dyDescent="0.25">
      <c r="E284" s="60"/>
      <c r="F284" s="60"/>
      <c r="G284" s="60"/>
      <c r="H284" s="60"/>
      <c r="I284" s="60"/>
      <c r="J284" s="60"/>
      <c r="K284" s="60"/>
      <c r="L284" s="60"/>
      <c r="M284" s="60"/>
    </row>
    <row r="285" spans="5:13" x14ac:dyDescent="0.25">
      <c r="E285" s="60"/>
      <c r="F285" s="60"/>
      <c r="G285" s="60"/>
      <c r="H285" s="60"/>
      <c r="I285" s="60"/>
      <c r="J285" s="60"/>
      <c r="K285" s="60"/>
      <c r="L285" s="60"/>
      <c r="M285" s="60"/>
    </row>
    <row r="286" spans="5:13" x14ac:dyDescent="0.25">
      <c r="E286" s="60"/>
      <c r="F286" s="60"/>
      <c r="G286" s="60"/>
      <c r="H286" s="60"/>
      <c r="I286" s="60"/>
      <c r="J286" s="60"/>
      <c r="K286" s="60"/>
      <c r="L286" s="60"/>
      <c r="M286" s="60"/>
    </row>
    <row r="287" spans="5:13" x14ac:dyDescent="0.25">
      <c r="E287" s="60"/>
      <c r="F287" s="60"/>
      <c r="G287" s="60"/>
      <c r="H287" s="60"/>
      <c r="I287" s="60"/>
      <c r="J287" s="60"/>
      <c r="K287" s="60"/>
      <c r="L287" s="60"/>
      <c r="M287" s="60"/>
    </row>
    <row r="288" spans="5:13" x14ac:dyDescent="0.25">
      <c r="E288" s="60"/>
      <c r="F288" s="60"/>
      <c r="G288" s="60"/>
      <c r="H288" s="60"/>
      <c r="I288" s="60"/>
      <c r="J288" s="60"/>
      <c r="K288" s="60"/>
      <c r="L288" s="60"/>
      <c r="M288" s="60"/>
    </row>
    <row r="289" spans="5:13" x14ac:dyDescent="0.25">
      <c r="E289" s="60"/>
      <c r="F289" s="60"/>
      <c r="G289" s="60"/>
      <c r="H289" s="60"/>
      <c r="I289" s="60"/>
      <c r="J289" s="60"/>
      <c r="K289" s="60"/>
      <c r="L289" s="60"/>
      <c r="M289" s="60"/>
    </row>
    <row r="290" spans="5:13" x14ac:dyDescent="0.25">
      <c r="E290" s="60"/>
      <c r="F290" s="60"/>
      <c r="G290" s="60"/>
      <c r="H290" s="60"/>
      <c r="I290" s="60"/>
      <c r="J290" s="60"/>
      <c r="K290" s="60"/>
      <c r="L290" s="60"/>
      <c r="M290" s="60"/>
    </row>
    <row r="291" spans="5:13" x14ac:dyDescent="0.25">
      <c r="E291" s="60"/>
      <c r="F291" s="60"/>
      <c r="G291" s="60"/>
      <c r="H291" s="60"/>
      <c r="I291" s="60"/>
      <c r="J291" s="60"/>
      <c r="K291" s="60"/>
      <c r="L291" s="60"/>
      <c r="M291" s="60"/>
    </row>
    <row r="292" spans="5:13" x14ac:dyDescent="0.25">
      <c r="E292" s="60"/>
      <c r="F292" s="60"/>
      <c r="G292" s="60"/>
      <c r="H292" s="60"/>
      <c r="I292" s="60"/>
      <c r="J292" s="60"/>
      <c r="K292" s="60"/>
      <c r="L292" s="60"/>
      <c r="M292" s="60"/>
    </row>
    <row r="293" spans="5:13" x14ac:dyDescent="0.25">
      <c r="E293" s="60"/>
      <c r="F293" s="60"/>
      <c r="G293" s="60"/>
      <c r="H293" s="60"/>
      <c r="I293" s="60"/>
      <c r="J293" s="60"/>
      <c r="K293" s="60"/>
      <c r="L293" s="60"/>
      <c r="M293" s="60"/>
    </row>
    <row r="294" spans="5:13" x14ac:dyDescent="0.25">
      <c r="E294" s="60"/>
      <c r="F294" s="60"/>
      <c r="G294" s="60"/>
      <c r="H294" s="60"/>
      <c r="I294" s="60"/>
      <c r="J294" s="60"/>
      <c r="K294" s="60"/>
      <c r="L294" s="60"/>
      <c r="M294" s="60"/>
    </row>
    <row r="295" spans="5:13" x14ac:dyDescent="0.25">
      <c r="E295" s="60"/>
      <c r="F295" s="60"/>
      <c r="G295" s="60"/>
      <c r="H295" s="60"/>
      <c r="I295" s="60"/>
      <c r="J295" s="60"/>
      <c r="K295" s="60"/>
      <c r="L295" s="60"/>
      <c r="M295" s="60"/>
    </row>
    <row r="296" spans="5:13" x14ac:dyDescent="0.25">
      <c r="E296" s="60"/>
      <c r="F296" s="60"/>
      <c r="G296" s="60"/>
      <c r="H296" s="60"/>
      <c r="I296" s="60"/>
      <c r="J296" s="60"/>
      <c r="K296" s="60"/>
      <c r="L296" s="60"/>
      <c r="M296" s="60"/>
    </row>
    <row r="297" spans="5:13" x14ac:dyDescent="0.25">
      <c r="E297" s="60"/>
      <c r="F297" s="60"/>
      <c r="G297" s="60"/>
      <c r="H297" s="60"/>
      <c r="I297" s="60"/>
      <c r="J297" s="60"/>
      <c r="K297" s="60"/>
      <c r="L297" s="60"/>
      <c r="M297" s="60"/>
    </row>
    <row r="298" spans="5:13" x14ac:dyDescent="0.25">
      <c r="E298" s="60"/>
      <c r="F298" s="60"/>
      <c r="G298" s="60"/>
      <c r="H298" s="60"/>
      <c r="I298" s="60"/>
      <c r="J298" s="60"/>
      <c r="K298" s="60"/>
      <c r="L298" s="60"/>
      <c r="M298" s="60"/>
    </row>
    <row r="299" spans="5:13" x14ac:dyDescent="0.25">
      <c r="E299" s="60"/>
      <c r="F299" s="60"/>
      <c r="G299" s="60"/>
      <c r="H299" s="60"/>
      <c r="I299" s="60"/>
      <c r="J299" s="60"/>
      <c r="K299" s="60"/>
      <c r="L299" s="60"/>
      <c r="M299" s="60"/>
    </row>
    <row r="300" spans="5:13" x14ac:dyDescent="0.25">
      <c r="E300" s="60"/>
      <c r="F300" s="60"/>
      <c r="G300" s="60"/>
      <c r="H300" s="60"/>
      <c r="I300" s="60"/>
      <c r="J300" s="60"/>
      <c r="K300" s="60"/>
      <c r="L300" s="60"/>
      <c r="M300" s="60"/>
    </row>
    <row r="301" spans="5:13" x14ac:dyDescent="0.25">
      <c r="E301" s="60"/>
      <c r="F301" s="60"/>
      <c r="G301" s="60"/>
      <c r="H301" s="60"/>
      <c r="I301" s="60"/>
      <c r="J301" s="60"/>
      <c r="K301" s="60"/>
      <c r="L301" s="60"/>
      <c r="M301" s="60"/>
    </row>
    <row r="302" spans="5:13" x14ac:dyDescent="0.25">
      <c r="E302" s="60"/>
      <c r="F302" s="60"/>
      <c r="G302" s="60"/>
      <c r="H302" s="60"/>
      <c r="I302" s="60"/>
      <c r="J302" s="60"/>
      <c r="K302" s="60"/>
      <c r="L302" s="60"/>
      <c r="M302" s="60"/>
    </row>
    <row r="303" spans="5:13" x14ac:dyDescent="0.25">
      <c r="E303" s="60"/>
      <c r="F303" s="60"/>
      <c r="G303" s="60"/>
      <c r="H303" s="60"/>
      <c r="I303" s="60"/>
      <c r="J303" s="60"/>
      <c r="K303" s="60"/>
      <c r="L303" s="60"/>
      <c r="M303" s="60"/>
    </row>
    <row r="304" spans="5:13" x14ac:dyDescent="0.25">
      <c r="E304" s="60"/>
      <c r="F304" s="60"/>
      <c r="G304" s="60"/>
      <c r="H304" s="60"/>
      <c r="I304" s="60"/>
      <c r="J304" s="60"/>
      <c r="K304" s="60"/>
      <c r="L304" s="60"/>
      <c r="M304" s="60"/>
    </row>
    <row r="305" spans="5:13" x14ac:dyDescent="0.25">
      <c r="E305" s="60"/>
      <c r="F305" s="60"/>
      <c r="G305" s="60"/>
      <c r="H305" s="60"/>
      <c r="I305" s="60"/>
      <c r="J305" s="60"/>
      <c r="K305" s="60"/>
      <c r="L305" s="60"/>
      <c r="M305" s="60"/>
    </row>
    <row r="306" spans="5:13" x14ac:dyDescent="0.25">
      <c r="E306" s="60"/>
      <c r="F306" s="60"/>
      <c r="G306" s="60"/>
      <c r="H306" s="60"/>
      <c r="I306" s="60"/>
      <c r="J306" s="60"/>
      <c r="K306" s="60"/>
      <c r="L306" s="60"/>
      <c r="M306" s="60"/>
    </row>
    <row r="307" spans="5:13" x14ac:dyDescent="0.25">
      <c r="E307" s="60"/>
      <c r="F307" s="60"/>
      <c r="G307" s="60"/>
      <c r="H307" s="60"/>
      <c r="I307" s="60"/>
      <c r="J307" s="60"/>
      <c r="K307" s="60"/>
      <c r="L307" s="60"/>
      <c r="M307" s="60"/>
    </row>
    <row r="308" spans="5:13" x14ac:dyDescent="0.25">
      <c r="E308" s="60"/>
      <c r="F308" s="60"/>
      <c r="G308" s="60"/>
      <c r="H308" s="60"/>
      <c r="I308" s="60"/>
      <c r="J308" s="60"/>
      <c r="K308" s="60"/>
      <c r="L308" s="60"/>
      <c r="M308" s="60"/>
    </row>
    <row r="309" spans="5:13" x14ac:dyDescent="0.25">
      <c r="E309" s="60"/>
      <c r="F309" s="60"/>
      <c r="G309" s="60"/>
      <c r="H309" s="60"/>
      <c r="I309" s="60"/>
      <c r="J309" s="60"/>
      <c r="K309" s="60"/>
      <c r="L309" s="60"/>
      <c r="M309" s="60"/>
    </row>
    <row r="310" spans="5:13" x14ac:dyDescent="0.25">
      <c r="E310" s="60"/>
      <c r="F310" s="60"/>
      <c r="G310" s="60"/>
      <c r="H310" s="60"/>
      <c r="I310" s="60"/>
      <c r="J310" s="60"/>
      <c r="K310" s="60"/>
      <c r="L310" s="60"/>
      <c r="M310" s="60"/>
    </row>
    <row r="311" spans="5:13" x14ac:dyDescent="0.25">
      <c r="E311" s="60"/>
      <c r="F311" s="60"/>
      <c r="G311" s="60"/>
      <c r="H311" s="60"/>
      <c r="I311" s="60"/>
      <c r="J311" s="60"/>
      <c r="K311" s="60"/>
      <c r="L311" s="60"/>
      <c r="M311" s="60"/>
    </row>
    <row r="312" spans="5:13" x14ac:dyDescent="0.25">
      <c r="E312" s="60"/>
      <c r="F312" s="60"/>
      <c r="G312" s="60"/>
      <c r="H312" s="60"/>
      <c r="I312" s="60"/>
      <c r="J312" s="60"/>
      <c r="K312" s="60"/>
      <c r="L312" s="60"/>
      <c r="M312" s="60"/>
    </row>
    <row r="313" spans="5:13" x14ac:dyDescent="0.25">
      <c r="E313" s="60"/>
      <c r="F313" s="60"/>
      <c r="G313" s="60"/>
      <c r="H313" s="60"/>
      <c r="I313" s="60"/>
      <c r="J313" s="60"/>
      <c r="K313" s="60"/>
      <c r="L313" s="60"/>
      <c r="M313" s="60"/>
    </row>
    <row r="314" spans="5:13" x14ac:dyDescent="0.25">
      <c r="E314" s="60"/>
      <c r="F314" s="60"/>
      <c r="G314" s="60"/>
      <c r="H314" s="60"/>
      <c r="I314" s="60"/>
      <c r="J314" s="60"/>
      <c r="K314" s="60"/>
      <c r="L314" s="60"/>
      <c r="M314" s="60"/>
    </row>
    <row r="315" spans="5:13" x14ac:dyDescent="0.25">
      <c r="E315" s="60"/>
      <c r="F315" s="60"/>
      <c r="G315" s="60"/>
      <c r="H315" s="60"/>
      <c r="I315" s="60"/>
      <c r="J315" s="60"/>
      <c r="K315" s="60"/>
      <c r="L315" s="60"/>
      <c r="M315" s="60"/>
    </row>
    <row r="316" spans="5:13" x14ac:dyDescent="0.25">
      <c r="E316" s="60"/>
      <c r="F316" s="60"/>
      <c r="G316" s="60"/>
      <c r="H316" s="60"/>
      <c r="I316" s="60"/>
      <c r="J316" s="60"/>
      <c r="K316" s="60"/>
      <c r="L316" s="60"/>
      <c r="M316" s="60"/>
    </row>
    <row r="317" spans="5:13" x14ac:dyDescent="0.25">
      <c r="E317" s="60"/>
      <c r="F317" s="60"/>
      <c r="G317" s="60"/>
      <c r="H317" s="60"/>
      <c r="I317" s="60"/>
      <c r="J317" s="60"/>
      <c r="K317" s="60"/>
      <c r="L317" s="60"/>
      <c r="M317" s="60"/>
    </row>
    <row r="318" spans="5:13" x14ac:dyDescent="0.25">
      <c r="E318" s="60"/>
      <c r="F318" s="60"/>
      <c r="G318" s="60"/>
      <c r="H318" s="60"/>
      <c r="I318" s="60"/>
      <c r="J318" s="60"/>
      <c r="K318" s="60"/>
      <c r="L318" s="60"/>
      <c r="M318" s="60"/>
    </row>
    <row r="319" spans="5:13" x14ac:dyDescent="0.25">
      <c r="E319" s="60"/>
      <c r="F319" s="60"/>
      <c r="G319" s="60"/>
      <c r="H319" s="60"/>
      <c r="I319" s="60"/>
      <c r="J319" s="60"/>
      <c r="K319" s="60"/>
      <c r="L319" s="60"/>
      <c r="M319" s="60"/>
    </row>
    <row r="320" spans="5:13" x14ac:dyDescent="0.25">
      <c r="E320" s="60"/>
      <c r="F320" s="60"/>
      <c r="G320" s="60"/>
      <c r="H320" s="60"/>
      <c r="I320" s="60"/>
      <c r="J320" s="60"/>
      <c r="K320" s="60"/>
      <c r="L320" s="60"/>
      <c r="M320" s="60"/>
    </row>
    <row r="321" spans="5:13" x14ac:dyDescent="0.25">
      <c r="E321" s="60"/>
      <c r="F321" s="60"/>
      <c r="G321" s="60"/>
      <c r="H321" s="60"/>
      <c r="I321" s="60"/>
      <c r="J321" s="60"/>
      <c r="K321" s="60"/>
      <c r="L321" s="60"/>
      <c r="M321" s="60"/>
    </row>
    <row r="322" spans="5:13" x14ac:dyDescent="0.25">
      <c r="E322" s="60"/>
      <c r="F322" s="60"/>
      <c r="G322" s="60"/>
      <c r="H322" s="60"/>
      <c r="I322" s="60"/>
      <c r="J322" s="60"/>
      <c r="K322" s="60"/>
      <c r="L322" s="60"/>
      <c r="M322" s="60"/>
    </row>
    <row r="323" spans="5:13" x14ac:dyDescent="0.25">
      <c r="E323" s="60"/>
      <c r="F323" s="60"/>
      <c r="G323" s="60"/>
      <c r="H323" s="60"/>
      <c r="I323" s="60"/>
      <c r="J323" s="60"/>
      <c r="K323" s="60"/>
      <c r="L323" s="60"/>
      <c r="M323" s="60"/>
    </row>
    <row r="324" spans="5:13" x14ac:dyDescent="0.25">
      <c r="E324" s="60"/>
      <c r="F324" s="60"/>
      <c r="G324" s="60"/>
      <c r="H324" s="60"/>
      <c r="I324" s="60"/>
      <c r="J324" s="60"/>
      <c r="K324" s="60"/>
      <c r="L324" s="60"/>
      <c r="M324" s="60"/>
    </row>
    <row r="325" spans="5:13" x14ac:dyDescent="0.25">
      <c r="E325" s="60"/>
      <c r="F325" s="60"/>
      <c r="G325" s="60"/>
      <c r="H325" s="60"/>
      <c r="I325" s="60"/>
      <c r="J325" s="60"/>
      <c r="K325" s="60"/>
      <c r="L325" s="60"/>
      <c r="M325" s="60"/>
    </row>
    <row r="326" spans="5:13" x14ac:dyDescent="0.25">
      <c r="E326" s="60"/>
      <c r="F326" s="60"/>
      <c r="G326" s="60"/>
      <c r="H326" s="60"/>
      <c r="I326" s="60"/>
      <c r="J326" s="60"/>
      <c r="K326" s="60"/>
      <c r="L326" s="60"/>
      <c r="M326" s="60"/>
    </row>
    <row r="327" spans="5:13" x14ac:dyDescent="0.25">
      <c r="E327" s="60"/>
      <c r="F327" s="60"/>
      <c r="G327" s="60"/>
      <c r="H327" s="60"/>
      <c r="I327" s="60"/>
      <c r="J327" s="60"/>
      <c r="K327" s="60"/>
      <c r="L327" s="60"/>
      <c r="M327" s="60"/>
    </row>
    <row r="328" spans="5:13" x14ac:dyDescent="0.25">
      <c r="E328" s="60"/>
      <c r="F328" s="60"/>
      <c r="G328" s="60"/>
      <c r="H328" s="60"/>
      <c r="I328" s="60"/>
      <c r="J328" s="60"/>
      <c r="K328" s="60"/>
      <c r="L328" s="60"/>
      <c r="M328" s="60"/>
    </row>
    <row r="329" spans="5:13" x14ac:dyDescent="0.25">
      <c r="E329" s="60"/>
      <c r="F329" s="60"/>
      <c r="G329" s="60"/>
      <c r="H329" s="60"/>
      <c r="I329" s="60"/>
      <c r="J329" s="60"/>
      <c r="K329" s="60"/>
      <c r="L329" s="60"/>
      <c r="M329" s="60"/>
    </row>
    <row r="330" spans="5:13" x14ac:dyDescent="0.25">
      <c r="E330" s="60"/>
      <c r="F330" s="60"/>
      <c r="G330" s="60"/>
      <c r="H330" s="60"/>
      <c r="I330" s="60"/>
      <c r="J330" s="60"/>
      <c r="K330" s="60"/>
      <c r="L330" s="60"/>
      <c r="M330" s="60"/>
    </row>
    <row r="331" spans="5:13" x14ac:dyDescent="0.25">
      <c r="E331" s="60"/>
      <c r="F331" s="60"/>
      <c r="G331" s="60"/>
      <c r="H331" s="60"/>
      <c r="I331" s="60"/>
      <c r="J331" s="60"/>
      <c r="K331" s="60"/>
      <c r="L331" s="60"/>
      <c r="M331" s="60"/>
    </row>
    <row r="332" spans="5:13" x14ac:dyDescent="0.25">
      <c r="E332" s="60"/>
      <c r="F332" s="60"/>
      <c r="G332" s="60"/>
      <c r="H332" s="60"/>
      <c r="I332" s="60"/>
      <c r="J332" s="60"/>
      <c r="K332" s="60"/>
      <c r="L332" s="60"/>
      <c r="M332" s="60"/>
    </row>
    <row r="333" spans="5:13" x14ac:dyDescent="0.25">
      <c r="E333" s="60"/>
      <c r="F333" s="60"/>
      <c r="G333" s="60"/>
      <c r="H333" s="60"/>
      <c r="I333" s="60"/>
      <c r="J333" s="60"/>
      <c r="K333" s="60"/>
      <c r="L333" s="60"/>
      <c r="M333" s="60"/>
    </row>
    <row r="334" spans="5:13" x14ac:dyDescent="0.25">
      <c r="E334" s="60"/>
      <c r="F334" s="60"/>
      <c r="G334" s="60"/>
      <c r="H334" s="60"/>
      <c r="I334" s="60"/>
      <c r="J334" s="60"/>
      <c r="K334" s="60"/>
      <c r="L334" s="60"/>
      <c r="M334" s="60"/>
    </row>
    <row r="335" spans="5:13" x14ac:dyDescent="0.25">
      <c r="E335" s="60"/>
      <c r="F335" s="60"/>
      <c r="G335" s="60"/>
      <c r="H335" s="60"/>
      <c r="I335" s="60"/>
      <c r="J335" s="60"/>
      <c r="K335" s="60"/>
      <c r="L335" s="60"/>
      <c r="M335" s="60"/>
    </row>
    <row r="336" spans="5:13" x14ac:dyDescent="0.25">
      <c r="E336" s="60"/>
      <c r="F336" s="60"/>
      <c r="G336" s="60"/>
      <c r="H336" s="60"/>
      <c r="I336" s="60"/>
      <c r="J336" s="60"/>
      <c r="K336" s="60"/>
      <c r="L336" s="60"/>
      <c r="M336" s="60"/>
    </row>
    <row r="337" spans="5:13" x14ac:dyDescent="0.25">
      <c r="E337" s="60"/>
      <c r="F337" s="60"/>
      <c r="G337" s="60"/>
      <c r="H337" s="60"/>
      <c r="I337" s="60"/>
      <c r="J337" s="60"/>
      <c r="K337" s="60"/>
      <c r="L337" s="60"/>
      <c r="M337" s="60"/>
    </row>
    <row r="338" spans="5:13" x14ac:dyDescent="0.25">
      <c r="E338" s="60"/>
      <c r="F338" s="60"/>
      <c r="G338" s="60"/>
      <c r="H338" s="60"/>
      <c r="I338" s="60"/>
      <c r="J338" s="60"/>
      <c r="K338" s="60"/>
      <c r="L338" s="60"/>
      <c r="M338" s="60"/>
    </row>
    <row r="339" spans="5:13" x14ac:dyDescent="0.25">
      <c r="E339" s="60"/>
      <c r="F339" s="60"/>
      <c r="G339" s="60"/>
      <c r="H339" s="60"/>
      <c r="I339" s="60"/>
      <c r="J339" s="60"/>
      <c r="K339" s="60"/>
      <c r="L339" s="60"/>
      <c r="M339" s="60"/>
    </row>
    <row r="340" spans="5:13" x14ac:dyDescent="0.25">
      <c r="E340" s="60"/>
      <c r="F340" s="60"/>
      <c r="G340" s="60"/>
      <c r="H340" s="60"/>
      <c r="I340" s="60"/>
      <c r="J340" s="60"/>
      <c r="K340" s="60"/>
      <c r="L340" s="60"/>
      <c r="M340" s="60"/>
    </row>
    <row r="341" spans="5:13" x14ac:dyDescent="0.25">
      <c r="E341" s="60"/>
      <c r="F341" s="60"/>
      <c r="G341" s="60"/>
      <c r="H341" s="60"/>
      <c r="I341" s="60"/>
      <c r="J341" s="60"/>
      <c r="K341" s="60"/>
      <c r="L341" s="60"/>
      <c r="M341" s="60"/>
    </row>
    <row r="342" spans="5:13" x14ac:dyDescent="0.25">
      <c r="E342" s="60"/>
      <c r="F342" s="60"/>
      <c r="G342" s="60"/>
      <c r="H342" s="60"/>
      <c r="I342" s="60"/>
      <c r="J342" s="60"/>
      <c r="K342" s="60"/>
      <c r="L342" s="60"/>
      <c r="M342" s="60"/>
    </row>
    <row r="343" spans="5:13" x14ac:dyDescent="0.25">
      <c r="E343" s="60"/>
      <c r="F343" s="60"/>
      <c r="G343" s="60"/>
      <c r="H343" s="60"/>
      <c r="I343" s="60"/>
      <c r="J343" s="60"/>
      <c r="K343" s="60"/>
      <c r="L343" s="60"/>
      <c r="M343" s="60"/>
    </row>
    <row r="344" spans="5:13" x14ac:dyDescent="0.25">
      <c r="E344" s="60"/>
      <c r="F344" s="60"/>
      <c r="G344" s="60"/>
      <c r="H344" s="60"/>
      <c r="I344" s="60"/>
      <c r="J344" s="60"/>
      <c r="K344" s="60"/>
      <c r="L344" s="60"/>
      <c r="M344" s="60"/>
    </row>
    <row r="345" spans="5:13" x14ac:dyDescent="0.25">
      <c r="E345" s="60"/>
      <c r="F345" s="60"/>
      <c r="G345" s="60"/>
      <c r="H345" s="60"/>
      <c r="I345" s="60"/>
      <c r="J345" s="60"/>
      <c r="K345" s="60"/>
      <c r="L345" s="60"/>
      <c r="M345" s="60"/>
    </row>
    <row r="346" spans="5:13" x14ac:dyDescent="0.25">
      <c r="E346" s="60"/>
      <c r="F346" s="60"/>
      <c r="G346" s="60"/>
      <c r="H346" s="60"/>
      <c r="I346" s="60"/>
      <c r="J346" s="60"/>
      <c r="K346" s="60"/>
      <c r="L346" s="60"/>
      <c r="M346" s="60"/>
    </row>
    <row r="347" spans="5:13" x14ac:dyDescent="0.25">
      <c r="E347" s="60"/>
      <c r="F347" s="60"/>
      <c r="G347" s="60"/>
      <c r="H347" s="60"/>
      <c r="I347" s="60"/>
      <c r="J347" s="60"/>
      <c r="K347" s="60"/>
      <c r="L347" s="60"/>
      <c r="M347" s="60"/>
    </row>
    <row r="348" spans="5:13" x14ac:dyDescent="0.25">
      <c r="E348" s="60"/>
      <c r="F348" s="60"/>
      <c r="G348" s="60"/>
      <c r="H348" s="60"/>
      <c r="I348" s="60"/>
      <c r="J348" s="60"/>
      <c r="K348" s="60"/>
      <c r="L348" s="60"/>
      <c r="M348" s="60"/>
    </row>
    <row r="349" spans="5:13" x14ac:dyDescent="0.25">
      <c r="E349" s="60"/>
      <c r="F349" s="60"/>
      <c r="G349" s="60"/>
      <c r="H349" s="60"/>
      <c r="I349" s="60"/>
      <c r="J349" s="60"/>
      <c r="K349" s="60"/>
      <c r="L349" s="60"/>
      <c r="M349" s="60"/>
    </row>
    <row r="350" spans="5:13" x14ac:dyDescent="0.25">
      <c r="E350" s="60"/>
      <c r="F350" s="60"/>
      <c r="G350" s="60"/>
      <c r="H350" s="60"/>
      <c r="I350" s="60"/>
      <c r="J350" s="60"/>
      <c r="K350" s="60"/>
      <c r="L350" s="60"/>
      <c r="M350" s="60"/>
    </row>
    <row r="351" spans="5:13" x14ac:dyDescent="0.25">
      <c r="E351" s="60"/>
      <c r="F351" s="60"/>
      <c r="G351" s="60"/>
      <c r="H351" s="60"/>
      <c r="I351" s="60"/>
      <c r="J351" s="60"/>
      <c r="K351" s="60"/>
      <c r="L351" s="60"/>
      <c r="M351" s="60"/>
    </row>
    <row r="352" spans="5:13" x14ac:dyDescent="0.25">
      <c r="E352" s="60"/>
      <c r="F352" s="60"/>
      <c r="G352" s="60"/>
      <c r="H352" s="60"/>
      <c r="I352" s="60"/>
      <c r="J352" s="60"/>
      <c r="K352" s="60"/>
      <c r="L352" s="60"/>
      <c r="M352" s="60"/>
    </row>
    <row r="353" spans="5:13" x14ac:dyDescent="0.25">
      <c r="E353" s="60"/>
      <c r="F353" s="60"/>
      <c r="G353" s="60"/>
      <c r="H353" s="60"/>
      <c r="I353" s="60"/>
      <c r="J353" s="60"/>
      <c r="K353" s="60"/>
      <c r="L353" s="60"/>
      <c r="M353" s="60"/>
    </row>
    <row r="354" spans="5:13" x14ac:dyDescent="0.25">
      <c r="E354" s="60"/>
      <c r="F354" s="60"/>
      <c r="G354" s="60"/>
      <c r="H354" s="60"/>
      <c r="I354" s="60"/>
      <c r="J354" s="60"/>
      <c r="K354" s="60"/>
      <c r="L354" s="60"/>
      <c r="M354" s="60"/>
    </row>
    <row r="355" spans="5:13" x14ac:dyDescent="0.25">
      <c r="E355" s="60"/>
      <c r="F355" s="60"/>
      <c r="G355" s="60"/>
      <c r="H355" s="60"/>
      <c r="I355" s="60"/>
      <c r="J355" s="60"/>
      <c r="K355" s="60"/>
      <c r="L355" s="60"/>
      <c r="M355" s="60"/>
    </row>
    <row r="356" spans="5:13" x14ac:dyDescent="0.25">
      <c r="E356" s="60"/>
      <c r="F356" s="60"/>
      <c r="G356" s="60"/>
      <c r="H356" s="60"/>
      <c r="I356" s="60"/>
      <c r="J356" s="60"/>
      <c r="K356" s="60"/>
      <c r="L356" s="60"/>
      <c r="M356" s="60"/>
    </row>
    <row r="357" spans="5:13" x14ac:dyDescent="0.25">
      <c r="E357" s="60"/>
      <c r="F357" s="60"/>
      <c r="G357" s="60"/>
      <c r="H357" s="60"/>
      <c r="I357" s="60"/>
      <c r="J357" s="60"/>
      <c r="K357" s="60"/>
      <c r="L357" s="60"/>
      <c r="M357" s="60"/>
    </row>
    <row r="358" spans="5:13" x14ac:dyDescent="0.25">
      <c r="E358" s="60"/>
      <c r="F358" s="60"/>
      <c r="G358" s="60"/>
      <c r="H358" s="60"/>
      <c r="I358" s="60"/>
      <c r="J358" s="60"/>
      <c r="K358" s="60"/>
      <c r="L358" s="60"/>
      <c r="M358" s="60"/>
    </row>
    <row r="359" spans="5:13" x14ac:dyDescent="0.25">
      <c r="E359" s="60"/>
      <c r="F359" s="60"/>
      <c r="G359" s="60"/>
      <c r="H359" s="60"/>
      <c r="I359" s="60"/>
      <c r="J359" s="60"/>
      <c r="K359" s="60"/>
      <c r="L359" s="60"/>
      <c r="M359" s="60"/>
    </row>
    <row r="360" spans="5:13" x14ac:dyDescent="0.25">
      <c r="E360" s="60"/>
      <c r="F360" s="60"/>
      <c r="G360" s="60"/>
      <c r="H360" s="60"/>
      <c r="I360" s="60"/>
      <c r="J360" s="60"/>
      <c r="K360" s="60"/>
      <c r="L360" s="60"/>
      <c r="M360" s="60"/>
    </row>
    <row r="361" spans="5:13" x14ac:dyDescent="0.25">
      <c r="E361" s="60"/>
      <c r="F361" s="60"/>
      <c r="G361" s="60"/>
      <c r="H361" s="60"/>
      <c r="I361" s="60"/>
      <c r="J361" s="60"/>
      <c r="K361" s="60"/>
      <c r="L361" s="60"/>
      <c r="M361" s="60"/>
    </row>
    <row r="362" spans="5:13" x14ac:dyDescent="0.25">
      <c r="E362" s="60"/>
      <c r="F362" s="60"/>
      <c r="G362" s="60"/>
      <c r="H362" s="60"/>
      <c r="I362" s="60"/>
      <c r="J362" s="60"/>
      <c r="K362" s="60"/>
      <c r="L362" s="60"/>
      <c r="M362" s="60"/>
    </row>
    <row r="363" spans="5:13" x14ac:dyDescent="0.25">
      <c r="E363" s="60"/>
      <c r="F363" s="60"/>
      <c r="G363" s="60"/>
      <c r="H363" s="60"/>
      <c r="I363" s="60"/>
      <c r="J363" s="60"/>
      <c r="K363" s="60"/>
      <c r="L363" s="60"/>
      <c r="M363" s="60"/>
    </row>
    <row r="364" spans="5:13" x14ac:dyDescent="0.25">
      <c r="E364" s="60"/>
      <c r="F364" s="60"/>
      <c r="G364" s="60"/>
      <c r="H364" s="60"/>
      <c r="I364" s="60"/>
      <c r="J364" s="60"/>
      <c r="K364" s="60"/>
      <c r="L364" s="60"/>
      <c r="M364" s="60"/>
    </row>
    <row r="365" spans="5:13" x14ac:dyDescent="0.25">
      <c r="E365" s="60"/>
      <c r="F365" s="60"/>
      <c r="G365" s="60"/>
      <c r="H365" s="60"/>
      <c r="I365" s="60"/>
      <c r="J365" s="60"/>
      <c r="K365" s="60"/>
      <c r="L365" s="60"/>
      <c r="M365" s="60"/>
    </row>
    <row r="366" spans="5:13" x14ac:dyDescent="0.25">
      <c r="E366" s="60"/>
      <c r="F366" s="60"/>
      <c r="G366" s="60"/>
      <c r="H366" s="60"/>
      <c r="I366" s="60"/>
      <c r="J366" s="60"/>
      <c r="K366" s="60"/>
      <c r="L366" s="60"/>
      <c r="M366" s="60"/>
    </row>
    <row r="367" spans="5:13" x14ac:dyDescent="0.25">
      <c r="E367" s="60"/>
      <c r="F367" s="60"/>
      <c r="G367" s="60"/>
      <c r="H367" s="60"/>
      <c r="I367" s="60"/>
      <c r="J367" s="60"/>
      <c r="K367" s="60"/>
      <c r="L367" s="60"/>
      <c r="M367" s="60"/>
    </row>
    <row r="368" spans="5:13" x14ac:dyDescent="0.25">
      <c r="E368" s="60"/>
      <c r="F368" s="60"/>
      <c r="G368" s="60"/>
      <c r="H368" s="60"/>
      <c r="I368" s="60"/>
      <c r="J368" s="60"/>
      <c r="K368" s="60"/>
      <c r="L368" s="60"/>
      <c r="M368" s="60"/>
    </row>
    <row r="369" spans="5:13" x14ac:dyDescent="0.25">
      <c r="E369" s="60"/>
      <c r="F369" s="60"/>
      <c r="G369" s="60"/>
      <c r="H369" s="60"/>
      <c r="I369" s="60"/>
      <c r="J369" s="60"/>
      <c r="K369" s="60"/>
      <c r="L369" s="60"/>
      <c r="M369" s="60"/>
    </row>
    <row r="370" spans="5:13" x14ac:dyDescent="0.25">
      <c r="E370" s="60"/>
      <c r="F370" s="60"/>
      <c r="G370" s="60"/>
      <c r="H370" s="60"/>
      <c r="I370" s="60"/>
      <c r="J370" s="60"/>
      <c r="K370" s="60"/>
      <c r="L370" s="60"/>
      <c r="M370" s="60"/>
    </row>
    <row r="371" spans="5:13" x14ac:dyDescent="0.25">
      <c r="E371" s="60"/>
      <c r="F371" s="60"/>
      <c r="G371" s="60"/>
      <c r="H371" s="60"/>
      <c r="I371" s="60"/>
      <c r="J371" s="60"/>
      <c r="K371" s="60"/>
      <c r="L371" s="60"/>
      <c r="M371" s="60"/>
    </row>
    <row r="372" spans="5:13" x14ac:dyDescent="0.25">
      <c r="E372" s="60"/>
      <c r="F372" s="60"/>
      <c r="G372" s="60"/>
      <c r="H372" s="60"/>
      <c r="I372" s="60"/>
      <c r="J372" s="60"/>
      <c r="K372" s="60"/>
      <c r="L372" s="60"/>
      <c r="M372" s="60"/>
    </row>
    <row r="373" spans="5:13" x14ac:dyDescent="0.25">
      <c r="E373" s="60"/>
      <c r="F373" s="60"/>
      <c r="G373" s="60"/>
      <c r="H373" s="60"/>
      <c r="I373" s="60"/>
      <c r="J373" s="60"/>
      <c r="K373" s="60"/>
      <c r="L373" s="60"/>
      <c r="M373" s="60"/>
    </row>
    <row r="374" spans="5:13" x14ac:dyDescent="0.25">
      <c r="E374" s="60"/>
      <c r="F374" s="60"/>
      <c r="G374" s="60"/>
      <c r="H374" s="60"/>
      <c r="I374" s="60"/>
      <c r="J374" s="60"/>
      <c r="K374" s="60"/>
      <c r="L374" s="60"/>
      <c r="M374" s="60"/>
    </row>
    <row r="375" spans="5:13" x14ac:dyDescent="0.25">
      <c r="E375" s="60"/>
      <c r="F375" s="60"/>
      <c r="G375" s="60"/>
      <c r="H375" s="60"/>
      <c r="I375" s="60"/>
      <c r="J375" s="60"/>
      <c r="K375" s="60"/>
      <c r="L375" s="60"/>
      <c r="M375" s="60"/>
    </row>
    <row r="376" spans="5:13" x14ac:dyDescent="0.25">
      <c r="E376" s="60"/>
      <c r="F376" s="60"/>
      <c r="G376" s="60"/>
      <c r="H376" s="60"/>
      <c r="I376" s="60"/>
      <c r="J376" s="60"/>
      <c r="K376" s="60"/>
      <c r="L376" s="60"/>
      <c r="M376" s="60"/>
    </row>
    <row r="377" spans="5:13" x14ac:dyDescent="0.25">
      <c r="E377" s="60"/>
      <c r="F377" s="60"/>
      <c r="G377" s="60"/>
      <c r="H377" s="60"/>
      <c r="I377" s="60"/>
      <c r="J377" s="60"/>
      <c r="K377" s="60"/>
      <c r="L377" s="60"/>
      <c r="M377" s="60"/>
    </row>
    <row r="378" spans="5:13" x14ac:dyDescent="0.25">
      <c r="E378" s="60"/>
      <c r="F378" s="60"/>
      <c r="G378" s="60"/>
      <c r="H378" s="60"/>
      <c r="I378" s="60"/>
      <c r="J378" s="60"/>
      <c r="K378" s="60"/>
      <c r="L378" s="60"/>
      <c r="M378" s="60"/>
    </row>
    <row r="379" spans="5:13" x14ac:dyDescent="0.25">
      <c r="E379" s="60"/>
      <c r="F379" s="60"/>
      <c r="G379" s="60"/>
      <c r="H379" s="60"/>
      <c r="I379" s="60"/>
      <c r="J379" s="60"/>
      <c r="K379" s="60"/>
      <c r="L379" s="60"/>
      <c r="M379" s="60"/>
    </row>
    <row r="380" spans="5:13" x14ac:dyDescent="0.25">
      <c r="E380" s="60"/>
      <c r="F380" s="60"/>
      <c r="G380" s="60"/>
      <c r="H380" s="60"/>
      <c r="I380" s="60"/>
      <c r="J380" s="60"/>
      <c r="K380" s="60"/>
      <c r="L380" s="60"/>
      <c r="M380" s="60"/>
    </row>
    <row r="381" spans="5:13" x14ac:dyDescent="0.25">
      <c r="E381" s="60"/>
      <c r="F381" s="60"/>
      <c r="G381" s="60"/>
      <c r="H381" s="60"/>
      <c r="I381" s="60"/>
      <c r="J381" s="60"/>
      <c r="K381" s="60"/>
      <c r="L381" s="60"/>
      <c r="M381" s="60"/>
    </row>
    <row r="382" spans="5:13" x14ac:dyDescent="0.25">
      <c r="E382" s="60"/>
      <c r="F382" s="60"/>
      <c r="G382" s="60"/>
      <c r="H382" s="60"/>
      <c r="I382" s="60"/>
      <c r="J382" s="60"/>
      <c r="K382" s="60"/>
      <c r="L382" s="60"/>
      <c r="M382" s="60"/>
    </row>
    <row r="383" spans="5:13" x14ac:dyDescent="0.25">
      <c r="E383" s="60"/>
      <c r="F383" s="60"/>
      <c r="G383" s="60"/>
      <c r="H383" s="60"/>
      <c r="I383" s="60"/>
      <c r="J383" s="60"/>
      <c r="K383" s="60"/>
      <c r="L383" s="60"/>
      <c r="M383" s="60"/>
    </row>
    <row r="384" spans="5:13" x14ac:dyDescent="0.25">
      <c r="E384" s="60"/>
      <c r="F384" s="60"/>
      <c r="G384" s="60"/>
      <c r="H384" s="60"/>
      <c r="I384" s="60"/>
      <c r="J384" s="60"/>
      <c r="K384" s="60"/>
      <c r="L384" s="60"/>
      <c r="M384" s="60"/>
    </row>
    <row r="385" spans="5:13" x14ac:dyDescent="0.25">
      <c r="E385" s="60"/>
      <c r="F385" s="60"/>
      <c r="G385" s="60"/>
      <c r="H385" s="60"/>
      <c r="I385" s="60"/>
      <c r="J385" s="60"/>
      <c r="K385" s="60"/>
      <c r="L385" s="60"/>
      <c r="M385" s="60"/>
    </row>
    <row r="386" spans="5:13" x14ac:dyDescent="0.25">
      <c r="E386" s="60"/>
      <c r="F386" s="60"/>
      <c r="G386" s="60"/>
      <c r="H386" s="60"/>
      <c r="I386" s="60"/>
      <c r="J386" s="60"/>
      <c r="K386" s="60"/>
      <c r="L386" s="60"/>
      <c r="M386" s="60"/>
    </row>
    <row r="387" spans="5:13" x14ac:dyDescent="0.25">
      <c r="E387" s="60"/>
      <c r="F387" s="60"/>
      <c r="G387" s="60"/>
      <c r="H387" s="60"/>
      <c r="I387" s="60"/>
      <c r="J387" s="60"/>
      <c r="K387" s="60"/>
      <c r="L387" s="60"/>
      <c r="M387" s="60"/>
    </row>
    <row r="388" spans="5:13" x14ac:dyDescent="0.25">
      <c r="E388" s="60"/>
      <c r="F388" s="60"/>
      <c r="G388" s="60"/>
      <c r="H388" s="60"/>
      <c r="I388" s="60"/>
      <c r="J388" s="60"/>
      <c r="K388" s="60"/>
      <c r="L388" s="60"/>
      <c r="M388" s="60"/>
    </row>
    <row r="389" spans="5:13" x14ac:dyDescent="0.25">
      <c r="E389" s="60"/>
      <c r="F389" s="60"/>
      <c r="G389" s="60"/>
      <c r="H389" s="60"/>
      <c r="I389" s="60"/>
      <c r="J389" s="60"/>
      <c r="K389" s="60"/>
      <c r="L389" s="60"/>
      <c r="M389" s="60"/>
    </row>
    <row r="390" spans="5:13" x14ac:dyDescent="0.25">
      <c r="E390" s="60"/>
      <c r="F390" s="60"/>
      <c r="G390" s="60"/>
      <c r="H390" s="60"/>
      <c r="I390" s="60"/>
      <c r="J390" s="60"/>
      <c r="K390" s="60"/>
      <c r="L390" s="60"/>
      <c r="M390" s="60"/>
    </row>
    <row r="391" spans="5:13" x14ac:dyDescent="0.25">
      <c r="E391" s="60"/>
      <c r="F391" s="60"/>
      <c r="G391" s="60"/>
      <c r="H391" s="60"/>
      <c r="I391" s="60"/>
      <c r="J391" s="60"/>
      <c r="K391" s="60"/>
      <c r="L391" s="60"/>
      <c r="M391" s="60"/>
    </row>
    <row r="392" spans="5:13" x14ac:dyDescent="0.25">
      <c r="E392" s="60"/>
      <c r="F392" s="60"/>
      <c r="G392" s="60"/>
      <c r="H392" s="60"/>
      <c r="I392" s="60"/>
      <c r="J392" s="60"/>
      <c r="K392" s="60"/>
      <c r="L392" s="60"/>
      <c r="M392" s="60"/>
    </row>
    <row r="393" spans="5:13" x14ac:dyDescent="0.25">
      <c r="E393" s="60"/>
      <c r="F393" s="60"/>
      <c r="G393" s="60"/>
      <c r="H393" s="60"/>
      <c r="I393" s="60"/>
      <c r="J393" s="60"/>
      <c r="K393" s="60"/>
      <c r="L393" s="60"/>
      <c r="M393" s="60"/>
    </row>
    <row r="394" spans="5:13" x14ac:dyDescent="0.25">
      <c r="E394" s="60"/>
      <c r="F394" s="60"/>
      <c r="G394" s="60"/>
      <c r="H394" s="60"/>
      <c r="I394" s="60"/>
      <c r="J394" s="60"/>
      <c r="K394" s="60"/>
      <c r="L394" s="60"/>
      <c r="M394" s="60"/>
    </row>
    <row r="395" spans="5:13" x14ac:dyDescent="0.25">
      <c r="E395" s="60"/>
      <c r="F395" s="60"/>
      <c r="G395" s="60"/>
      <c r="H395" s="60"/>
      <c r="I395" s="60"/>
      <c r="J395" s="60"/>
      <c r="K395" s="60"/>
      <c r="L395" s="60"/>
      <c r="M395" s="60"/>
    </row>
    <row r="396" spans="5:13" x14ac:dyDescent="0.25">
      <c r="E396" s="60"/>
      <c r="F396" s="60"/>
      <c r="G396" s="60"/>
      <c r="H396" s="60"/>
      <c r="I396" s="60"/>
      <c r="J396" s="60"/>
      <c r="K396" s="60"/>
      <c r="L396" s="60"/>
      <c r="M396" s="60"/>
    </row>
    <row r="397" spans="5:13" x14ac:dyDescent="0.25">
      <c r="E397" s="60"/>
      <c r="F397" s="60"/>
      <c r="G397" s="60"/>
      <c r="H397" s="60"/>
      <c r="I397" s="60"/>
      <c r="J397" s="60"/>
      <c r="K397" s="60"/>
      <c r="L397" s="60"/>
      <c r="M397" s="60"/>
    </row>
    <row r="398" spans="5:13" x14ac:dyDescent="0.25">
      <c r="E398" s="60"/>
      <c r="F398" s="60"/>
      <c r="G398" s="60"/>
      <c r="H398" s="60"/>
      <c r="I398" s="60"/>
      <c r="J398" s="60"/>
      <c r="K398" s="60"/>
      <c r="L398" s="60"/>
      <c r="M398" s="60"/>
    </row>
    <row r="399" spans="5:13" x14ac:dyDescent="0.25">
      <c r="E399" s="60"/>
      <c r="F399" s="60"/>
      <c r="G399" s="60"/>
      <c r="H399" s="60"/>
      <c r="I399" s="60"/>
      <c r="J399" s="60"/>
      <c r="K399" s="60"/>
      <c r="L399" s="60"/>
      <c r="M399" s="60"/>
    </row>
    <row r="400" spans="5:13" x14ac:dyDescent="0.25">
      <c r="E400" s="60"/>
      <c r="F400" s="60"/>
      <c r="G400" s="60"/>
      <c r="H400" s="60"/>
      <c r="I400" s="60"/>
      <c r="J400" s="60"/>
      <c r="K400" s="60"/>
      <c r="L400" s="60"/>
      <c r="M400" s="60"/>
    </row>
    <row r="401" spans="5:13" x14ac:dyDescent="0.25">
      <c r="E401" s="60"/>
      <c r="F401" s="60"/>
      <c r="G401" s="60"/>
      <c r="H401" s="60"/>
      <c r="I401" s="60"/>
      <c r="J401" s="60"/>
      <c r="K401" s="60"/>
      <c r="L401" s="60"/>
      <c r="M401" s="60"/>
    </row>
    <row r="402" spans="5:13" x14ac:dyDescent="0.25">
      <c r="E402" s="60"/>
      <c r="F402" s="60"/>
      <c r="G402" s="60"/>
      <c r="H402" s="60"/>
      <c r="I402" s="60"/>
      <c r="J402" s="60"/>
      <c r="K402" s="60"/>
      <c r="L402" s="60"/>
      <c r="M402" s="60"/>
    </row>
    <row r="403" spans="5:13" x14ac:dyDescent="0.25">
      <c r="E403" s="60"/>
      <c r="F403" s="60"/>
      <c r="G403" s="60"/>
      <c r="H403" s="60"/>
      <c r="I403" s="60"/>
      <c r="J403" s="60"/>
      <c r="K403" s="60"/>
      <c r="L403" s="60"/>
      <c r="M403" s="60"/>
    </row>
    <row r="404" spans="5:13" x14ac:dyDescent="0.25">
      <c r="E404" s="60"/>
      <c r="F404" s="60"/>
      <c r="G404" s="60"/>
      <c r="H404" s="60"/>
      <c r="I404" s="60"/>
      <c r="J404" s="60"/>
      <c r="K404" s="60"/>
      <c r="L404" s="60"/>
      <c r="M404" s="60"/>
    </row>
    <row r="405" spans="5:13" x14ac:dyDescent="0.25">
      <c r="E405" s="60"/>
      <c r="F405" s="60"/>
      <c r="G405" s="60"/>
      <c r="H405" s="60"/>
      <c r="I405" s="60"/>
      <c r="J405" s="60"/>
      <c r="K405" s="60"/>
      <c r="L405" s="60"/>
      <c r="M405" s="60"/>
    </row>
    <row r="406" spans="5:13" x14ac:dyDescent="0.25">
      <c r="E406" s="60"/>
      <c r="F406" s="60"/>
      <c r="G406" s="60"/>
      <c r="H406" s="60"/>
      <c r="I406" s="60"/>
      <c r="J406" s="60"/>
      <c r="K406" s="60"/>
      <c r="L406" s="60"/>
      <c r="M406" s="60"/>
    </row>
    <row r="407" spans="5:13" x14ac:dyDescent="0.25">
      <c r="E407" s="60"/>
      <c r="F407" s="60"/>
      <c r="G407" s="60"/>
      <c r="H407" s="60"/>
      <c r="I407" s="60"/>
      <c r="J407" s="60"/>
      <c r="K407" s="60"/>
      <c r="L407" s="60"/>
      <c r="M407" s="60"/>
    </row>
    <row r="408" spans="5:13" x14ac:dyDescent="0.25">
      <c r="E408" s="60"/>
      <c r="F408" s="60"/>
      <c r="G408" s="60"/>
      <c r="H408" s="60"/>
      <c r="I408" s="60"/>
      <c r="J408" s="60"/>
      <c r="K408" s="60"/>
      <c r="L408" s="60"/>
      <c r="M408" s="60"/>
    </row>
    <row r="409" spans="5:13" x14ac:dyDescent="0.25">
      <c r="E409" s="60"/>
      <c r="F409" s="60"/>
      <c r="G409" s="60"/>
      <c r="H409" s="60"/>
      <c r="I409" s="60"/>
      <c r="J409" s="60"/>
      <c r="K409" s="60"/>
      <c r="L409" s="60"/>
      <c r="M409" s="60"/>
    </row>
    <row r="410" spans="5:13" x14ac:dyDescent="0.25">
      <c r="E410" s="60"/>
      <c r="F410" s="60"/>
      <c r="G410" s="60"/>
      <c r="H410" s="60"/>
      <c r="I410" s="60"/>
      <c r="J410" s="60"/>
      <c r="K410" s="60"/>
      <c r="L410" s="60"/>
      <c r="M410" s="60"/>
    </row>
    <row r="411" spans="5:13" x14ac:dyDescent="0.25">
      <c r="E411" s="60"/>
      <c r="F411" s="60"/>
      <c r="G411" s="60"/>
      <c r="H411" s="60"/>
      <c r="I411" s="60"/>
      <c r="J411" s="60"/>
      <c r="K411" s="60"/>
      <c r="L411" s="60"/>
      <c r="M411" s="60"/>
    </row>
    <row r="412" spans="5:13" x14ac:dyDescent="0.25">
      <c r="E412" s="60"/>
      <c r="F412" s="60"/>
      <c r="G412" s="60"/>
      <c r="H412" s="60"/>
      <c r="I412" s="60"/>
      <c r="J412" s="60"/>
      <c r="K412" s="60"/>
      <c r="L412" s="60"/>
      <c r="M412" s="60"/>
    </row>
    <row r="413" spans="5:13" x14ac:dyDescent="0.25">
      <c r="E413" s="60"/>
      <c r="F413" s="60"/>
      <c r="G413" s="60"/>
      <c r="H413" s="60"/>
      <c r="I413" s="60"/>
      <c r="J413" s="60"/>
      <c r="K413" s="60"/>
      <c r="L413" s="60"/>
      <c r="M413" s="60"/>
    </row>
    <row r="414" spans="5:13" x14ac:dyDescent="0.25">
      <c r="E414" s="60"/>
      <c r="F414" s="60"/>
      <c r="G414" s="60"/>
      <c r="H414" s="60"/>
      <c r="I414" s="60"/>
      <c r="J414" s="60"/>
      <c r="K414" s="60"/>
      <c r="L414" s="60"/>
      <c r="M414" s="60"/>
    </row>
    <row r="415" spans="5:13" x14ac:dyDescent="0.25">
      <c r="E415" s="60"/>
      <c r="F415" s="60"/>
      <c r="G415" s="60"/>
      <c r="H415" s="60"/>
      <c r="I415" s="60"/>
      <c r="J415" s="60"/>
      <c r="K415" s="60"/>
      <c r="L415" s="60"/>
      <c r="M415" s="60"/>
    </row>
    <row r="416" spans="5:13" x14ac:dyDescent="0.25">
      <c r="E416" s="60"/>
      <c r="F416" s="60"/>
      <c r="G416" s="60"/>
      <c r="H416" s="60"/>
      <c r="I416" s="60"/>
      <c r="J416" s="60"/>
      <c r="K416" s="60"/>
      <c r="L416" s="60"/>
      <c r="M416" s="60"/>
    </row>
    <row r="417" spans="5:13" x14ac:dyDescent="0.25">
      <c r="E417" s="60"/>
      <c r="F417" s="60"/>
      <c r="G417" s="60"/>
      <c r="H417" s="60"/>
      <c r="I417" s="60"/>
      <c r="J417" s="60"/>
      <c r="K417" s="60"/>
      <c r="L417" s="60"/>
      <c r="M417" s="60"/>
    </row>
    <row r="418" spans="5:13" x14ac:dyDescent="0.25">
      <c r="E418" s="60"/>
      <c r="F418" s="60"/>
      <c r="G418" s="60"/>
      <c r="H418" s="60"/>
      <c r="I418" s="60"/>
      <c r="J418" s="60"/>
      <c r="K418" s="60"/>
      <c r="L418" s="60"/>
      <c r="M418" s="60"/>
    </row>
    <row r="419" spans="5:13" x14ac:dyDescent="0.25">
      <c r="E419" s="60"/>
      <c r="F419" s="60"/>
      <c r="G419" s="60"/>
      <c r="H419" s="60"/>
      <c r="I419" s="60"/>
      <c r="J419" s="60"/>
      <c r="K419" s="60"/>
      <c r="L419" s="60"/>
      <c r="M419" s="60"/>
    </row>
    <row r="420" spans="5:13" x14ac:dyDescent="0.25">
      <c r="E420" s="60"/>
      <c r="F420" s="60"/>
      <c r="G420" s="60"/>
      <c r="H420" s="60"/>
      <c r="I420" s="60"/>
      <c r="J420" s="60"/>
      <c r="K420" s="60"/>
      <c r="L420" s="60"/>
      <c r="M420" s="60"/>
    </row>
    <row r="421" spans="5:13" x14ac:dyDescent="0.25">
      <c r="E421" s="60"/>
      <c r="F421" s="60"/>
      <c r="G421" s="60"/>
      <c r="H421" s="60"/>
      <c r="I421" s="60"/>
      <c r="J421" s="60"/>
      <c r="K421" s="60"/>
      <c r="L421" s="60"/>
      <c r="M421" s="60"/>
    </row>
    <row r="422" spans="5:13" x14ac:dyDescent="0.25">
      <c r="E422" s="60"/>
      <c r="F422" s="60"/>
      <c r="G422" s="60"/>
      <c r="H422" s="60"/>
      <c r="I422" s="60"/>
      <c r="J422" s="60"/>
      <c r="K422" s="60"/>
      <c r="L422" s="60"/>
      <c r="M422" s="60"/>
    </row>
    <row r="423" spans="5:13" x14ac:dyDescent="0.25">
      <c r="E423" s="60"/>
      <c r="F423" s="60"/>
      <c r="G423" s="60"/>
      <c r="H423" s="60"/>
      <c r="I423" s="60"/>
      <c r="J423" s="60"/>
      <c r="K423" s="60"/>
      <c r="L423" s="60"/>
      <c r="M423" s="60"/>
    </row>
    <row r="424" spans="5:13" x14ac:dyDescent="0.25">
      <c r="E424" s="60"/>
      <c r="F424" s="60"/>
      <c r="G424" s="60"/>
      <c r="H424" s="60"/>
      <c r="I424" s="60"/>
      <c r="J424" s="60"/>
      <c r="K424" s="60"/>
      <c r="L424" s="60"/>
      <c r="M424" s="60"/>
    </row>
    <row r="425" spans="5:13" x14ac:dyDescent="0.25">
      <c r="E425" s="60"/>
      <c r="F425" s="60"/>
      <c r="G425" s="60"/>
      <c r="H425" s="60"/>
      <c r="I425" s="60"/>
      <c r="J425" s="60"/>
      <c r="K425" s="60"/>
      <c r="L425" s="60"/>
      <c r="M425" s="60"/>
    </row>
    <row r="426" spans="5:13" x14ac:dyDescent="0.25">
      <c r="E426" s="60"/>
      <c r="F426" s="60"/>
      <c r="G426" s="60"/>
      <c r="H426" s="60"/>
      <c r="I426" s="60"/>
      <c r="J426" s="60"/>
      <c r="K426" s="60"/>
      <c r="L426" s="60"/>
      <c r="M426" s="60"/>
    </row>
    <row r="427" spans="5:13" x14ac:dyDescent="0.25">
      <c r="E427" s="60"/>
      <c r="F427" s="60"/>
      <c r="G427" s="60"/>
      <c r="H427" s="60"/>
      <c r="I427" s="60"/>
      <c r="J427" s="60"/>
      <c r="K427" s="60"/>
      <c r="L427" s="60"/>
      <c r="M427" s="60"/>
    </row>
    <row r="428" spans="5:13" x14ac:dyDescent="0.25">
      <c r="E428" s="60"/>
      <c r="F428" s="60"/>
      <c r="G428" s="60"/>
      <c r="H428" s="60"/>
      <c r="I428" s="60"/>
      <c r="J428" s="60"/>
      <c r="K428" s="60"/>
      <c r="L428" s="60"/>
      <c r="M428" s="60"/>
    </row>
    <row r="429" spans="5:13" x14ac:dyDescent="0.25">
      <c r="E429" s="60"/>
      <c r="F429" s="60"/>
      <c r="G429" s="60"/>
      <c r="H429" s="60"/>
      <c r="I429" s="60"/>
      <c r="J429" s="60"/>
      <c r="K429" s="60"/>
      <c r="L429" s="60"/>
      <c r="M429" s="60"/>
    </row>
    <row r="430" spans="5:13" x14ac:dyDescent="0.25">
      <c r="E430" s="60"/>
      <c r="F430" s="60"/>
      <c r="G430" s="60"/>
      <c r="H430" s="60"/>
      <c r="I430" s="60"/>
      <c r="J430" s="60"/>
      <c r="K430" s="60"/>
      <c r="L430" s="60"/>
      <c r="M430" s="60"/>
    </row>
    <row r="431" spans="5:13" x14ac:dyDescent="0.25">
      <c r="E431" s="60"/>
      <c r="F431" s="60"/>
      <c r="G431" s="60"/>
      <c r="H431" s="60"/>
      <c r="I431" s="60"/>
      <c r="J431" s="60"/>
      <c r="K431" s="60"/>
      <c r="L431" s="60"/>
      <c r="M431" s="60"/>
    </row>
    <row r="432" spans="5:13" x14ac:dyDescent="0.25">
      <c r="E432" s="60"/>
      <c r="F432" s="60"/>
      <c r="G432" s="60"/>
      <c r="H432" s="60"/>
      <c r="I432" s="60"/>
      <c r="J432" s="60"/>
      <c r="K432" s="60"/>
      <c r="L432" s="60"/>
      <c r="M432" s="60"/>
    </row>
    <row r="433" spans="5:13" x14ac:dyDescent="0.25">
      <c r="E433" s="60"/>
      <c r="F433" s="60"/>
      <c r="G433" s="60"/>
      <c r="H433" s="60"/>
      <c r="I433" s="60"/>
      <c r="J433" s="60"/>
      <c r="K433" s="60"/>
      <c r="L433" s="60"/>
      <c r="M433" s="60"/>
    </row>
    <row r="434" spans="5:13" x14ac:dyDescent="0.25">
      <c r="E434" s="60"/>
      <c r="F434" s="60"/>
      <c r="G434" s="60"/>
      <c r="H434" s="60"/>
      <c r="I434" s="60"/>
      <c r="J434" s="60"/>
      <c r="K434" s="60"/>
      <c r="L434" s="60"/>
      <c r="M434" s="60"/>
    </row>
    <row r="435" spans="5:13" x14ac:dyDescent="0.25">
      <c r="E435" s="60"/>
      <c r="F435" s="60"/>
      <c r="G435" s="60"/>
      <c r="H435" s="60"/>
      <c r="I435" s="60"/>
      <c r="J435" s="60"/>
      <c r="K435" s="60"/>
      <c r="L435" s="60"/>
      <c r="M435" s="60"/>
    </row>
    <row r="436" spans="5:13" x14ac:dyDescent="0.25">
      <c r="E436" s="60"/>
      <c r="F436" s="60"/>
      <c r="G436" s="60"/>
      <c r="H436" s="60"/>
      <c r="I436" s="60"/>
      <c r="J436" s="60"/>
      <c r="K436" s="60"/>
      <c r="L436" s="60"/>
      <c r="M436" s="60"/>
    </row>
    <row r="437" spans="5:13" x14ac:dyDescent="0.25">
      <c r="E437" s="60"/>
      <c r="F437" s="60"/>
      <c r="G437" s="60"/>
      <c r="H437" s="60"/>
      <c r="I437" s="60"/>
      <c r="J437" s="60"/>
      <c r="K437" s="60"/>
      <c r="L437" s="60"/>
      <c r="M437" s="60"/>
    </row>
    <row r="438" spans="5:13" x14ac:dyDescent="0.25">
      <c r="E438" s="60"/>
      <c r="F438" s="60"/>
      <c r="G438" s="60"/>
      <c r="H438" s="60"/>
      <c r="I438" s="60"/>
      <c r="J438" s="60"/>
      <c r="K438" s="60"/>
      <c r="L438" s="60"/>
      <c r="M438" s="60"/>
    </row>
    <row r="439" spans="5:13" x14ac:dyDescent="0.25">
      <c r="E439" s="60"/>
      <c r="F439" s="60"/>
      <c r="G439" s="60"/>
      <c r="H439" s="60"/>
      <c r="I439" s="60"/>
      <c r="J439" s="60"/>
      <c r="K439" s="60"/>
      <c r="L439" s="60"/>
      <c r="M439" s="60"/>
    </row>
    <row r="440" spans="5:13" x14ac:dyDescent="0.25">
      <c r="E440" s="60"/>
      <c r="F440" s="60"/>
      <c r="G440" s="60"/>
      <c r="H440" s="60"/>
      <c r="I440" s="60"/>
      <c r="J440" s="60"/>
      <c r="K440" s="60"/>
      <c r="L440" s="60"/>
      <c r="M440" s="60"/>
    </row>
    <row r="441" spans="5:13" x14ac:dyDescent="0.25">
      <c r="E441" s="60"/>
      <c r="F441" s="60"/>
      <c r="G441" s="60"/>
      <c r="H441" s="60"/>
      <c r="I441" s="60"/>
      <c r="J441" s="60"/>
      <c r="K441" s="60"/>
      <c r="L441" s="60"/>
      <c r="M441" s="60"/>
    </row>
    <row r="442" spans="5:13" x14ac:dyDescent="0.25">
      <c r="E442" s="60"/>
      <c r="F442" s="60"/>
      <c r="G442" s="60"/>
      <c r="H442" s="60"/>
      <c r="I442" s="60"/>
      <c r="J442" s="60"/>
      <c r="K442" s="60"/>
      <c r="L442" s="60"/>
      <c r="M442" s="60"/>
    </row>
    <row r="443" spans="5:13" x14ac:dyDescent="0.25">
      <c r="E443" s="60"/>
      <c r="F443" s="60"/>
      <c r="G443" s="60"/>
      <c r="H443" s="60"/>
      <c r="I443" s="60"/>
      <c r="J443" s="60"/>
      <c r="K443" s="60"/>
      <c r="L443" s="60"/>
      <c r="M443" s="60"/>
    </row>
    <row r="444" spans="5:13" x14ac:dyDescent="0.25">
      <c r="E444" s="60"/>
      <c r="F444" s="60"/>
      <c r="G444" s="60"/>
      <c r="H444" s="60"/>
      <c r="I444" s="60"/>
      <c r="J444" s="60"/>
      <c r="K444" s="60"/>
      <c r="L444" s="60"/>
      <c r="M444" s="60"/>
    </row>
    <row r="445" spans="5:13" x14ac:dyDescent="0.25">
      <c r="E445" s="60"/>
      <c r="F445" s="60"/>
      <c r="G445" s="60"/>
      <c r="H445" s="60"/>
      <c r="I445" s="60"/>
      <c r="J445" s="60"/>
      <c r="K445" s="60"/>
      <c r="L445" s="60"/>
      <c r="M445" s="60"/>
    </row>
    <row r="446" spans="5:13" x14ac:dyDescent="0.25">
      <c r="E446" s="60"/>
      <c r="F446" s="60"/>
      <c r="G446" s="60"/>
      <c r="H446" s="60"/>
      <c r="I446" s="60"/>
      <c r="J446" s="60"/>
      <c r="K446" s="60"/>
      <c r="L446" s="60"/>
      <c r="M446" s="60"/>
    </row>
    <row r="447" spans="5:13" x14ac:dyDescent="0.25">
      <c r="E447" s="60"/>
      <c r="F447" s="60"/>
      <c r="G447" s="60"/>
      <c r="H447" s="60"/>
      <c r="I447" s="60"/>
      <c r="J447" s="60"/>
      <c r="K447" s="60"/>
      <c r="L447" s="60"/>
      <c r="M447" s="60"/>
    </row>
    <row r="448" spans="5:13" x14ac:dyDescent="0.25">
      <c r="E448" s="60"/>
      <c r="F448" s="60"/>
      <c r="G448" s="60"/>
      <c r="H448" s="60"/>
      <c r="I448" s="60"/>
      <c r="J448" s="60"/>
      <c r="K448" s="60"/>
      <c r="L448" s="60"/>
      <c r="M448" s="60"/>
    </row>
    <row r="449" spans="5:13" x14ac:dyDescent="0.25">
      <c r="E449" s="60"/>
      <c r="F449" s="60"/>
      <c r="G449" s="60"/>
      <c r="H449" s="60"/>
      <c r="I449" s="60"/>
      <c r="J449" s="60"/>
      <c r="K449" s="60"/>
      <c r="L449" s="60"/>
      <c r="M449" s="60"/>
    </row>
    <row r="450" spans="5:13" x14ac:dyDescent="0.25">
      <c r="E450" s="60"/>
      <c r="F450" s="60"/>
      <c r="G450" s="60"/>
      <c r="H450" s="60"/>
      <c r="I450" s="60"/>
      <c r="J450" s="60"/>
      <c r="K450" s="60"/>
      <c r="L450" s="60"/>
      <c r="M450" s="60"/>
    </row>
    <row r="451" spans="5:13" x14ac:dyDescent="0.25">
      <c r="E451" s="60"/>
      <c r="F451" s="60"/>
      <c r="G451" s="60"/>
      <c r="H451" s="60"/>
      <c r="I451" s="60"/>
      <c r="J451" s="60"/>
      <c r="K451" s="60"/>
      <c r="L451" s="60"/>
      <c r="M451" s="60"/>
    </row>
    <row r="452" spans="5:13" x14ac:dyDescent="0.25">
      <c r="E452" s="60"/>
      <c r="F452" s="60"/>
      <c r="G452" s="60"/>
      <c r="H452" s="60"/>
      <c r="I452" s="60"/>
      <c r="J452" s="60"/>
      <c r="K452" s="60"/>
      <c r="L452" s="60"/>
      <c r="M452" s="60"/>
    </row>
    <row r="453" spans="5:13" x14ac:dyDescent="0.25">
      <c r="E453" s="60"/>
      <c r="F453" s="60"/>
      <c r="G453" s="60"/>
      <c r="H453" s="60"/>
      <c r="I453" s="60"/>
      <c r="J453" s="60"/>
      <c r="K453" s="60"/>
      <c r="L453" s="60"/>
      <c r="M453" s="60"/>
    </row>
    <row r="454" spans="5:13" x14ac:dyDescent="0.25">
      <c r="E454" s="60"/>
      <c r="F454" s="60"/>
      <c r="G454" s="60"/>
      <c r="H454" s="60"/>
      <c r="I454" s="60"/>
      <c r="J454" s="60"/>
      <c r="K454" s="60"/>
      <c r="L454" s="60"/>
      <c r="M454" s="60"/>
    </row>
    <row r="455" spans="5:13" x14ac:dyDescent="0.25">
      <c r="E455" s="60"/>
      <c r="F455" s="60"/>
      <c r="G455" s="60"/>
      <c r="H455" s="60"/>
      <c r="I455" s="60"/>
      <c r="J455" s="60"/>
      <c r="K455" s="60"/>
      <c r="L455" s="60"/>
      <c r="M455" s="60"/>
    </row>
    <row r="456" spans="5:13" x14ac:dyDescent="0.25">
      <c r="E456" s="60"/>
      <c r="F456" s="60"/>
      <c r="G456" s="60"/>
      <c r="H456" s="60"/>
      <c r="I456" s="60"/>
      <c r="J456" s="60"/>
      <c r="K456" s="60"/>
      <c r="L456" s="60"/>
      <c r="M456" s="60"/>
    </row>
    <row r="457" spans="5:13" x14ac:dyDescent="0.25">
      <c r="E457" s="60"/>
      <c r="F457" s="60"/>
      <c r="G457" s="60"/>
      <c r="H457" s="60"/>
      <c r="I457" s="60"/>
      <c r="J457" s="60"/>
      <c r="K457" s="60"/>
      <c r="L457" s="60"/>
      <c r="M457" s="60"/>
    </row>
    <row r="458" spans="5:13" x14ac:dyDescent="0.25">
      <c r="E458" s="60"/>
      <c r="F458" s="60"/>
      <c r="G458" s="60"/>
      <c r="H458" s="60"/>
      <c r="I458" s="60"/>
      <c r="J458" s="60"/>
      <c r="K458" s="60"/>
      <c r="L458" s="60"/>
      <c r="M458" s="60"/>
    </row>
    <row r="459" spans="5:13" x14ac:dyDescent="0.25">
      <c r="E459" s="60"/>
      <c r="F459" s="60"/>
      <c r="G459" s="60"/>
      <c r="H459" s="60"/>
      <c r="I459" s="60"/>
      <c r="J459" s="60"/>
      <c r="K459" s="60"/>
      <c r="L459" s="60"/>
      <c r="M459" s="60"/>
    </row>
    <row r="460" spans="5:13" x14ac:dyDescent="0.25">
      <c r="E460" s="60"/>
      <c r="F460" s="60"/>
      <c r="G460" s="60"/>
      <c r="H460" s="60"/>
      <c r="I460" s="60"/>
      <c r="J460" s="60"/>
      <c r="K460" s="60"/>
      <c r="L460" s="60"/>
      <c r="M460" s="60"/>
    </row>
    <row r="461" spans="5:13" x14ac:dyDescent="0.25">
      <c r="E461" s="60"/>
      <c r="F461" s="60"/>
      <c r="G461" s="60"/>
      <c r="H461" s="60"/>
      <c r="I461" s="60"/>
      <c r="J461" s="60"/>
      <c r="K461" s="60"/>
      <c r="L461" s="60"/>
      <c r="M461" s="60"/>
    </row>
    <row r="462" spans="5:13" x14ac:dyDescent="0.25">
      <c r="E462" s="60"/>
      <c r="F462" s="60"/>
      <c r="G462" s="60"/>
      <c r="H462" s="60"/>
      <c r="I462" s="60"/>
      <c r="J462" s="60"/>
      <c r="K462" s="60"/>
      <c r="L462" s="60"/>
      <c r="M462" s="60"/>
    </row>
    <row r="463" spans="5:13" x14ac:dyDescent="0.25">
      <c r="E463" s="60"/>
      <c r="F463" s="60"/>
      <c r="G463" s="60"/>
      <c r="H463" s="60"/>
      <c r="I463" s="60"/>
      <c r="J463" s="60"/>
      <c r="K463" s="60"/>
      <c r="L463" s="60"/>
      <c r="M463" s="60"/>
    </row>
    <row r="464" spans="5:13" x14ac:dyDescent="0.25">
      <c r="E464" s="60"/>
      <c r="F464" s="60"/>
      <c r="G464" s="60"/>
      <c r="H464" s="60"/>
      <c r="I464" s="60"/>
      <c r="J464" s="60"/>
      <c r="K464" s="60"/>
      <c r="L464" s="60"/>
      <c r="M464" s="60"/>
    </row>
    <row r="465" spans="5:13" x14ac:dyDescent="0.25">
      <c r="E465" s="60"/>
      <c r="F465" s="60"/>
      <c r="G465" s="60"/>
      <c r="H465" s="60"/>
      <c r="I465" s="60"/>
      <c r="J465" s="60"/>
      <c r="K465" s="60"/>
      <c r="L465" s="60"/>
      <c r="M465" s="60"/>
    </row>
    <row r="466" spans="5:13" x14ac:dyDescent="0.25">
      <c r="E466" s="60"/>
      <c r="F466" s="60"/>
      <c r="G466" s="60"/>
      <c r="H466" s="60"/>
      <c r="I466" s="60"/>
      <c r="J466" s="60"/>
      <c r="K466" s="60"/>
      <c r="L466" s="60"/>
      <c r="M466" s="60"/>
    </row>
    <row r="467" spans="5:13" x14ac:dyDescent="0.25">
      <c r="E467" s="60"/>
      <c r="F467" s="60"/>
      <c r="G467" s="60"/>
      <c r="H467" s="60"/>
      <c r="I467" s="60"/>
      <c r="J467" s="60"/>
      <c r="K467" s="60"/>
      <c r="L467" s="60"/>
      <c r="M467" s="60"/>
    </row>
    <row r="468" spans="5:13" x14ac:dyDescent="0.25">
      <c r="E468" s="60"/>
      <c r="F468" s="60"/>
      <c r="G468" s="60"/>
      <c r="H468" s="60"/>
      <c r="I468" s="60"/>
      <c r="J468" s="60"/>
      <c r="K468" s="60"/>
      <c r="L468" s="60"/>
      <c r="M468" s="60"/>
    </row>
    <row r="469" spans="5:13" x14ac:dyDescent="0.25">
      <c r="E469" s="60"/>
      <c r="F469" s="60"/>
      <c r="G469" s="60"/>
      <c r="H469" s="60"/>
      <c r="I469" s="60"/>
      <c r="J469" s="60"/>
      <c r="K469" s="60"/>
      <c r="L469" s="60"/>
      <c r="M469" s="60"/>
    </row>
    <row r="470" spans="5:13" x14ac:dyDescent="0.25">
      <c r="E470" s="60"/>
      <c r="F470" s="60"/>
      <c r="G470" s="60"/>
      <c r="H470" s="60"/>
      <c r="I470" s="60"/>
      <c r="J470" s="60"/>
      <c r="K470" s="60"/>
      <c r="L470" s="60"/>
      <c r="M470" s="60"/>
    </row>
    <row r="471" spans="5:13" x14ac:dyDescent="0.25">
      <c r="E471" s="60"/>
      <c r="F471" s="60"/>
      <c r="G471" s="60"/>
      <c r="H471" s="60"/>
      <c r="I471" s="60"/>
      <c r="J471" s="60"/>
      <c r="K471" s="60"/>
      <c r="L471" s="60"/>
      <c r="M471" s="60"/>
    </row>
    <row r="472" spans="5:13" x14ac:dyDescent="0.25">
      <c r="E472" s="60"/>
      <c r="F472" s="60"/>
      <c r="G472" s="60"/>
      <c r="H472" s="60"/>
      <c r="I472" s="60"/>
      <c r="J472" s="60"/>
      <c r="K472" s="60"/>
      <c r="L472" s="60"/>
      <c r="M472" s="60"/>
    </row>
    <row r="473" spans="5:13" x14ac:dyDescent="0.25">
      <c r="E473" s="60"/>
      <c r="F473" s="60"/>
      <c r="G473" s="60"/>
      <c r="H473" s="60"/>
      <c r="I473" s="60"/>
      <c r="J473" s="60"/>
      <c r="K473" s="60"/>
      <c r="L473" s="60"/>
      <c r="M473" s="60"/>
    </row>
    <row r="474" spans="5:13" x14ac:dyDescent="0.25">
      <c r="E474" s="60"/>
      <c r="F474" s="60"/>
      <c r="G474" s="60"/>
      <c r="H474" s="60"/>
      <c r="I474" s="60"/>
      <c r="J474" s="60"/>
      <c r="K474" s="60"/>
      <c r="L474" s="60"/>
      <c r="M474" s="60"/>
    </row>
    <row r="475" spans="5:13" x14ac:dyDescent="0.25">
      <c r="E475" s="60"/>
      <c r="F475" s="60"/>
      <c r="G475" s="60"/>
      <c r="H475" s="60"/>
      <c r="I475" s="60"/>
      <c r="J475" s="60"/>
      <c r="K475" s="60"/>
      <c r="L475" s="60"/>
      <c r="M475" s="60"/>
    </row>
    <row r="476" spans="5:13" x14ac:dyDescent="0.25">
      <c r="E476" s="60"/>
      <c r="F476" s="60"/>
      <c r="G476" s="60"/>
      <c r="H476" s="60"/>
      <c r="I476" s="60"/>
      <c r="J476" s="60"/>
      <c r="K476" s="60"/>
      <c r="L476" s="60"/>
      <c r="M476" s="60"/>
    </row>
    <row r="477" spans="5:13" x14ac:dyDescent="0.25">
      <c r="E477" s="60"/>
      <c r="F477" s="60"/>
      <c r="G477" s="60"/>
      <c r="H477" s="60"/>
      <c r="I477" s="60"/>
      <c r="J477" s="60"/>
      <c r="K477" s="60"/>
      <c r="L477" s="60"/>
      <c r="M477" s="60"/>
    </row>
    <row r="478" spans="5:13" x14ac:dyDescent="0.25">
      <c r="E478" s="60"/>
      <c r="F478" s="60"/>
      <c r="G478" s="60"/>
      <c r="H478" s="60"/>
      <c r="I478" s="60"/>
      <c r="J478" s="60"/>
      <c r="K478" s="60"/>
      <c r="L478" s="60"/>
      <c r="M478" s="60"/>
    </row>
    <row r="479" spans="5:13" x14ac:dyDescent="0.25">
      <c r="E479" s="60"/>
      <c r="F479" s="60"/>
      <c r="G479" s="60"/>
      <c r="H479" s="60"/>
      <c r="I479" s="60"/>
      <c r="J479" s="60"/>
      <c r="K479" s="60"/>
      <c r="L479" s="60"/>
      <c r="M479" s="60"/>
    </row>
    <row r="480" spans="5:13" x14ac:dyDescent="0.25">
      <c r="E480" s="60"/>
      <c r="F480" s="60"/>
      <c r="G480" s="60"/>
      <c r="H480" s="60"/>
      <c r="I480" s="60"/>
      <c r="J480" s="60"/>
      <c r="K480" s="60"/>
      <c r="L480" s="60"/>
      <c r="M480" s="60"/>
    </row>
    <row r="481" spans="5:13" x14ac:dyDescent="0.25">
      <c r="E481" s="60"/>
      <c r="F481" s="60"/>
      <c r="G481" s="60"/>
      <c r="H481" s="60"/>
      <c r="I481" s="60"/>
      <c r="J481" s="60"/>
      <c r="K481" s="60"/>
      <c r="L481" s="60"/>
      <c r="M481" s="60"/>
    </row>
    <row r="482" spans="5:13" x14ac:dyDescent="0.25">
      <c r="E482" s="60"/>
      <c r="F482" s="60"/>
      <c r="G482" s="60"/>
      <c r="H482" s="60"/>
      <c r="I482" s="60"/>
      <c r="J482" s="60"/>
      <c r="K482" s="60"/>
      <c r="L482" s="60"/>
      <c r="M482" s="60"/>
    </row>
    <row r="483" spans="5:13" x14ac:dyDescent="0.25">
      <c r="E483" s="60"/>
      <c r="F483" s="60"/>
      <c r="G483" s="60"/>
      <c r="H483" s="60"/>
      <c r="I483" s="60"/>
      <c r="J483" s="60"/>
      <c r="K483" s="60"/>
      <c r="L483" s="60"/>
      <c r="M483" s="60"/>
    </row>
    <row r="484" spans="5:13" x14ac:dyDescent="0.25">
      <c r="E484" s="60"/>
      <c r="F484" s="60"/>
      <c r="G484" s="60"/>
      <c r="H484" s="60"/>
      <c r="I484" s="60"/>
      <c r="J484" s="60"/>
      <c r="K484" s="60"/>
      <c r="L484" s="60"/>
      <c r="M484" s="60"/>
    </row>
    <row r="485" spans="5:13" x14ac:dyDescent="0.25">
      <c r="E485" s="60"/>
      <c r="F485" s="60"/>
      <c r="G485" s="60"/>
      <c r="H485" s="60"/>
      <c r="I485" s="60"/>
      <c r="J485" s="60"/>
      <c r="K485" s="60"/>
      <c r="L485" s="60"/>
      <c r="M485" s="60"/>
    </row>
    <row r="486" spans="5:13" x14ac:dyDescent="0.25">
      <c r="E486" s="60"/>
      <c r="F486" s="60"/>
      <c r="G486" s="60"/>
      <c r="H486" s="60"/>
      <c r="I486" s="60"/>
      <c r="J486" s="60"/>
      <c r="K486" s="60"/>
      <c r="L486" s="60"/>
      <c r="M486" s="60"/>
    </row>
    <row r="487" spans="5:13" x14ac:dyDescent="0.25">
      <c r="E487" s="60"/>
      <c r="F487" s="60"/>
      <c r="G487" s="60"/>
      <c r="H487" s="60"/>
      <c r="I487" s="60"/>
      <c r="J487" s="60"/>
      <c r="K487" s="60"/>
      <c r="L487" s="60"/>
      <c r="M487" s="60"/>
    </row>
  </sheetData>
  <sheetProtection formatColumns="0" formatRows="0"/>
  <mergeCells count="20">
    <mergeCell ref="E21:G21"/>
    <mergeCell ref="E12:G12"/>
    <mergeCell ref="E13:G13"/>
    <mergeCell ref="E14:G14"/>
    <mergeCell ref="K24:N24"/>
    <mergeCell ref="H21:J21"/>
    <mergeCell ref="E24:J24"/>
    <mergeCell ref="E18:G18"/>
    <mergeCell ref="H18:J18"/>
    <mergeCell ref="E22:G22"/>
    <mergeCell ref="H22:J22"/>
    <mergeCell ref="E19:G19"/>
    <mergeCell ref="H19:J19"/>
    <mergeCell ref="E20:G20"/>
    <mergeCell ref="H20:J20"/>
    <mergeCell ref="E7:G7"/>
    <mergeCell ref="E8:G8"/>
    <mergeCell ref="E9:G9"/>
    <mergeCell ref="E10:G10"/>
    <mergeCell ref="E11:G11"/>
  </mergeCells>
  <phoneticPr fontId="24" type="noConversion"/>
  <conditionalFormatting sqref="E14:J14 E8:H13">
    <cfRule type="expression" dxfId="51" priority="2">
      <formula>$H8=0</formula>
    </cfRule>
  </conditionalFormatting>
  <conditionalFormatting sqref="H15">
    <cfRule type="expression" dxfId="50" priority="3">
      <formula>SUM($H$7:$H$13)=1</formula>
    </cfRule>
  </conditionalFormatting>
  <conditionalFormatting sqref="H14:J14 H8:H13">
    <cfRule type="expression" dxfId="49" priority="26">
      <formula>SUM($H$7:$H$13)&lt;&gt;1</formula>
    </cfRule>
  </conditionalFormatting>
  <dataValidations count="1">
    <dataValidation type="list" allowBlank="1" showInputMessage="1" showErrorMessage="1" sqref="I26:I29" xr:uid="{AE607E23-4085-4693-920F-43D9762FC051}">
      <formula1>kravtype</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656BC8BE-192E-4423-9429-105852B54A4E}">
          <x14:formula1>
            <xm:f>Lister!$E$43:$E$44</xm:f>
          </x14:formula1>
          <xm:sqref>L27</xm:sqref>
        </x14:dataValidation>
        <x14:dataValidation type="list" allowBlank="1" showInputMessage="1" showErrorMessage="1" xr:uid="{A34C1C89-7A69-4C83-A9AB-4AE507E1C555}">
          <x14:formula1>
            <xm:f>Lister!$O$43:$O$48</xm:f>
          </x14:formula1>
          <xm:sqref>L28:L29</xm:sqref>
        </x14:dataValidation>
        <x14:dataValidation type="list" allowBlank="1" showInputMessage="1" showErrorMessage="1" xr:uid="{D514888D-DCB0-4880-B6EB-5965E2867E23}">
          <x14:formula1>
            <xm:f>Lister!$F$43</xm:f>
          </x14:formula1>
          <xm:sqref>L26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A3F9-69B8-44C3-9462-C661C992C65A}">
  <dimension ref="B3:N57"/>
  <sheetViews>
    <sheetView zoomScale="71" zoomScaleNormal="110" workbookViewId="0">
      <selection activeCell="H18" sqref="H18:J18"/>
    </sheetView>
  </sheetViews>
  <sheetFormatPr baseColWidth="10" defaultColWidth="11.42578125" defaultRowHeight="15" x14ac:dyDescent="0.25"/>
  <cols>
    <col min="1" max="1" width="11.42578125" style="8"/>
    <col min="2" max="2" width="11.42578125" style="8" hidden="1" customWidth="1"/>
    <col min="3" max="4" width="13.140625" style="8" hidden="1" customWidth="1"/>
    <col min="5" max="5" width="11.85546875" style="8" customWidth="1"/>
    <col min="6" max="6" width="37.42578125" style="8" customWidth="1"/>
    <col min="7" max="7" width="30.42578125" style="8" customWidth="1"/>
    <col min="8" max="8" width="78" style="8" customWidth="1"/>
    <col min="9" max="9" width="24.140625" style="8" customWidth="1"/>
    <col min="10" max="10" width="35.5703125" style="8" customWidth="1"/>
    <col min="11" max="11" width="76.5703125" style="8" customWidth="1"/>
    <col min="12" max="12" width="63" style="8" customWidth="1"/>
    <col min="13" max="13" width="68.42578125" style="8" customWidth="1"/>
    <col min="14" max="14" width="38.85546875" style="8" customWidth="1"/>
    <col min="15" max="16384" width="11.42578125" style="8"/>
  </cols>
  <sheetData>
    <row r="3" spans="5:10" ht="21" x14ac:dyDescent="0.25">
      <c r="E3" s="9" t="str">
        <f>CONCATENATE(navn_Anskaffelseskode," ",Dokumentnummer," Kravspesifikasjon ", Dokumentnavn)</f>
        <v>2507gj-1 Bilag 3 Kravspesifikasjon Anagrelid</v>
      </c>
    </row>
    <row r="4" spans="5:10" ht="14.25" customHeight="1" x14ac:dyDescent="0.25">
      <c r="E4" s="9"/>
    </row>
    <row r="5" spans="5:10" ht="21" x14ac:dyDescent="0.25">
      <c r="E5" s="9" t="s">
        <v>92</v>
      </c>
      <c r="F5" s="9"/>
      <c r="G5" s="18"/>
      <c r="I5" s="11"/>
      <c r="J5" s="11"/>
    </row>
    <row r="6" spans="5:10" ht="36" customHeight="1" x14ac:dyDescent="0.25">
      <c r="E6" s="210" t="s">
        <v>52</v>
      </c>
      <c r="F6" s="210"/>
      <c r="G6" s="210"/>
      <c r="H6" s="59" t="s">
        <v>367</v>
      </c>
    </row>
    <row r="7" spans="5:10" ht="14.85" customHeight="1" x14ac:dyDescent="0.25">
      <c r="E7" s="147" t="str">
        <f>Lister!I43</f>
        <v>Pris (P)</v>
      </c>
      <c r="F7" s="148"/>
      <c r="G7" s="149"/>
      <c r="H7" s="15">
        <f>Lister!J43</f>
        <v>0.5</v>
      </c>
    </row>
    <row r="8" spans="5:10" ht="14.85" customHeight="1" x14ac:dyDescent="0.25">
      <c r="E8" s="150" t="str">
        <f>Lister!I44</f>
        <v>Brukervennlighet, pakninger og produktspekter (PP)</v>
      </c>
      <c r="F8" s="151"/>
      <c r="G8" s="152"/>
      <c r="H8" s="41">
        <f>Lister!J44</f>
        <v>0.05</v>
      </c>
    </row>
    <row r="9" spans="5:10" ht="14.85" customHeight="1" x14ac:dyDescent="0.25">
      <c r="E9" s="153" t="str">
        <f>Lister!I45</f>
        <v>Leveringssikkerhet: Lager (LP1)</v>
      </c>
      <c r="F9" s="154"/>
      <c r="G9" s="155"/>
      <c r="H9" s="16">
        <f>Lister!J45</f>
        <v>0.12</v>
      </c>
    </row>
    <row r="10" spans="5:10" ht="14.85" customHeight="1" x14ac:dyDescent="0.25">
      <c r="E10" s="153" t="str">
        <f>Lister!I46</f>
        <v>Leveringssikkerhet: Land (LP2)</v>
      </c>
      <c r="F10" s="154"/>
      <c r="G10" s="155"/>
      <c r="H10" s="16">
        <f>Lister!J46</f>
        <v>0.03</v>
      </c>
    </row>
    <row r="11" spans="5:10" ht="14.85" customHeight="1" x14ac:dyDescent="0.25">
      <c r="E11" s="158" t="str">
        <f>Lister!I47</f>
        <v xml:space="preserve">Miljø på leverandørnivå (ML1) </v>
      </c>
      <c r="F11" s="159"/>
      <c r="G11" s="160"/>
      <c r="H11" s="42">
        <f>Lister!J47</f>
        <v>0.2</v>
      </c>
    </row>
    <row r="12" spans="5:10" ht="14.85" customHeight="1" x14ac:dyDescent="0.25">
      <c r="E12" s="161" t="str">
        <f>Lister!I48</f>
        <v>Miljø på produktnivå (MP1)</v>
      </c>
      <c r="F12" s="162"/>
      <c r="G12" s="163"/>
      <c r="H12" s="43">
        <f>Lister!J48</f>
        <v>0.1</v>
      </c>
    </row>
    <row r="13" spans="5:10" ht="15" hidden="1" customHeight="1" x14ac:dyDescent="0.25">
      <c r="E13" s="150" t="str">
        <f>Lister!I49</f>
        <v>Pakninger og produktspekter (PP)</v>
      </c>
      <c r="F13" s="151"/>
      <c r="G13" s="152"/>
      <c r="H13" s="41">
        <f>Lister!J49</f>
        <v>0</v>
      </c>
      <c r="I13" s="41">
        <f>Lister!K49</f>
        <v>0</v>
      </c>
      <c r="J13" s="41">
        <f>Lister!L49</f>
        <v>0</v>
      </c>
    </row>
    <row r="14" spans="5:10" x14ac:dyDescent="0.25">
      <c r="H14" s="75" t="s">
        <v>93</v>
      </c>
    </row>
    <row r="15" spans="5:10" ht="21.75" thickBot="1" x14ac:dyDescent="0.3">
      <c r="E15" s="9" t="s">
        <v>94</v>
      </c>
      <c r="F15" s="13"/>
    </row>
    <row r="16" spans="5:10" ht="15" customHeight="1" x14ac:dyDescent="0.25">
      <c r="E16" s="196" t="s">
        <v>55</v>
      </c>
      <c r="F16" s="197"/>
      <c r="G16" s="198"/>
      <c r="H16" s="201"/>
      <c r="I16" s="202"/>
      <c r="J16" s="203"/>
    </row>
    <row r="17" spans="5:14" ht="14.45" customHeight="1" x14ac:dyDescent="0.25">
      <c r="E17" s="204" t="s">
        <v>95</v>
      </c>
      <c r="F17" s="205"/>
      <c r="G17" s="206"/>
      <c r="H17" s="207">
        <v>1</v>
      </c>
      <c r="I17" s="208"/>
      <c r="J17" s="209"/>
    </row>
    <row r="18" spans="5:14" ht="15" customHeight="1" x14ac:dyDescent="0.25">
      <c r="E18" s="187" t="s">
        <v>96</v>
      </c>
      <c r="F18" s="188"/>
      <c r="G18" s="189" t="s">
        <v>65</v>
      </c>
      <c r="H18" s="184" t="str">
        <f>_xlfn.XLOOKUP(navn_delleveranse,tabell_anskaffelsens_innhold[Delkontrakt],tabell_anskaffelsens_innhold[Kravsett for delleveranse],"ikke funnet")</f>
        <v xml:space="preserve">Generelle Miljø Tablett/kapsel       </v>
      </c>
      <c r="I18" s="185"/>
      <c r="J18" s="186"/>
    </row>
    <row r="19" spans="5:14" customFormat="1" ht="15" hidden="1" customHeight="1" x14ac:dyDescent="0.25">
      <c r="E19" s="102" t="str" cm="1">
        <f t="array" ref="E19:N19">_xlfn.XLOOKUP(navn_delleveranse,tabell_anskaffelsens_innhold[Delkontrakt],tabell_anskaffelsens_innhold[Kravsett 1]:tabell_anskaffelsens_innhold[Kravsett 10],"ikkefunnet")</f>
        <v>Generelle</v>
      </c>
      <c r="F19" s="103" t="str">
        <v>Miljø</v>
      </c>
      <c r="G19" s="103" t="str">
        <v>Tablett/kapsel</v>
      </c>
      <c r="H19">
        <v>0</v>
      </c>
      <c r="I19">
        <v>0</v>
      </c>
      <c r="J19" s="71">
        <v>0</v>
      </c>
      <c r="K19">
        <v>0</v>
      </c>
      <c r="L19">
        <v>0</v>
      </c>
      <c r="M19">
        <v>0</v>
      </c>
      <c r="N19">
        <v>0</v>
      </c>
    </row>
    <row r="20" spans="5:14" ht="15" customHeight="1" x14ac:dyDescent="0.25">
      <c r="E20" s="111" t="s">
        <v>97</v>
      </c>
      <c r="F20" s="112"/>
      <c r="G20" s="113"/>
      <c r="H20" s="184">
        <f>_xlfn.XLOOKUP(navn_delleveranse,tabell_anskaffelsens_innhold[Delkontrakt],tabell_anskaffelsens_innhold[Kategori ernæring/inf skyll],"ikke funnet")</f>
        <v>0</v>
      </c>
      <c r="I20" s="185"/>
      <c r="J20" s="186"/>
    </row>
    <row r="21" spans="5:14" x14ac:dyDescent="0.25">
      <c r="E21" s="187" t="s">
        <v>26</v>
      </c>
      <c r="F21" s="188"/>
      <c r="G21" s="189"/>
      <c r="H21" s="184" t="str">
        <f>_xlfn.XLOOKUP(navn_delleveranse,tabell_anskaffelsens_innhold[Delkontrakt],tabell_anskaffelsens_innhold[ATC],"ikke funnet")</f>
        <v>L01XX35</v>
      </c>
      <c r="I21" s="185"/>
      <c r="J21" s="186"/>
    </row>
    <row r="22" spans="5:14" ht="15" customHeight="1" x14ac:dyDescent="0.25">
      <c r="E22" s="187" t="s">
        <v>98</v>
      </c>
      <c r="F22" s="188"/>
      <c r="G22" s="189"/>
      <c r="H22" s="184" t="str">
        <f>_xlfn.XLOOKUP(navn_delleveranse,tabell_anskaffelsens_innhold[Delkontrakt],tabell_anskaffelsens_innhold[Virkestoff Sykehusinnkjøp],"ikke funnet")</f>
        <v>Anagrelid</v>
      </c>
      <c r="I22" s="185"/>
      <c r="J22" s="186"/>
    </row>
    <row r="23" spans="5:14" ht="15" customHeight="1" x14ac:dyDescent="0.25">
      <c r="E23" s="187" t="s">
        <v>99</v>
      </c>
      <c r="F23" s="188"/>
      <c r="G23" s="189"/>
      <c r="H23" s="184" t="str">
        <f>_xlfn.XLOOKUP(navn_delleveranse,tabell_anskaffelsens_innhold[Delkontrakt],tabell_anskaffelsens_innhold[Bruksparameter Sykehusinnkjøp],"ikke funnet")</f>
        <v/>
      </c>
      <c r="I23" s="185"/>
      <c r="J23" s="186"/>
    </row>
    <row r="24" spans="5:14" ht="15" customHeight="1" thickBot="1" x14ac:dyDescent="0.3">
      <c r="E24" s="190" t="s">
        <v>100</v>
      </c>
      <c r="F24" s="191"/>
      <c r="G24" s="192"/>
      <c r="H24" s="193" t="str">
        <f>_xlfn.XLOOKUP(navn_delleveranse,tabell_anskaffelsens_innhold[Delkontrakt],tabell_anskaffelsens_innhold[Emballasjetype Sykehusinnkjøp],"ikke funnet")</f>
        <v/>
      </c>
      <c r="I24" s="194"/>
      <c r="J24" s="195"/>
    </row>
    <row r="25" spans="5:14" ht="15" customHeight="1" x14ac:dyDescent="0.25"/>
    <row r="26" spans="5:14" ht="21.75" customHeight="1" x14ac:dyDescent="0.25">
      <c r="E26" s="88" t="s">
        <v>101</v>
      </c>
    </row>
    <row r="27" spans="5:14" ht="15" customHeight="1" x14ac:dyDescent="0.25">
      <c r="E27" s="87" t="s">
        <v>102</v>
      </c>
      <c r="F27" s="86" t="s">
        <v>103</v>
      </c>
    </row>
    <row r="28" spans="5:14" ht="15" customHeight="1" x14ac:dyDescent="0.25">
      <c r="E28" s="78"/>
      <c r="F28" s="79"/>
    </row>
    <row r="29" spans="5:14" ht="15" customHeight="1" x14ac:dyDescent="0.25">
      <c r="E29" s="78"/>
      <c r="F29" s="79"/>
    </row>
    <row r="30" spans="5:14" ht="15" customHeight="1" x14ac:dyDescent="0.25">
      <c r="E30" s="78"/>
      <c r="F30" s="79"/>
    </row>
    <row r="31" spans="5:14" ht="15" customHeight="1" x14ac:dyDescent="0.25">
      <c r="E31" s="78"/>
      <c r="F31" s="79"/>
    </row>
    <row r="32" spans="5:14" ht="15" customHeight="1" x14ac:dyDescent="0.25">
      <c r="E32" s="80"/>
      <c r="F32" s="81"/>
    </row>
    <row r="35" spans="2:14" ht="15.75" x14ac:dyDescent="0.25">
      <c r="E35" s="27" t="str">
        <f>CONCATENATE("Krav for ",Dokumentnavn)</f>
        <v>Krav for Anagrelid</v>
      </c>
      <c r="F35" s="12"/>
      <c r="G35" s="75" t="str">
        <f>"BETINGET FORMATERING (FOR Å FARGE KRAV SOM IKKE GJELDER VALGT DELLEVERANSE) ER SATT TIL: "&amp;toggle_betingetFormatering&amp;" (kan endres i arkfane 'Lister')"</f>
        <v>BETINGET FORMATERING (FOR Å FARGE KRAV SOM IKKE GJELDER VALGT DELLEVERANSE) ER SATT TIL: Ja (kan endres i arkfane 'Lister')</v>
      </c>
    </row>
    <row r="37" spans="2:14" ht="15" customHeight="1" x14ac:dyDescent="0.25">
      <c r="E37" s="199" t="s">
        <v>60</v>
      </c>
      <c r="F37" s="200"/>
      <c r="G37" s="200"/>
      <c r="H37" s="200"/>
      <c r="I37" s="200"/>
      <c r="J37" s="200"/>
      <c r="K37" s="200"/>
      <c r="L37" s="182" t="s">
        <v>61</v>
      </c>
      <c r="M37" s="182"/>
      <c r="N37" s="183"/>
    </row>
    <row r="38" spans="2:14" ht="30" x14ac:dyDescent="0.25">
      <c r="B38" s="8" t="s">
        <v>62</v>
      </c>
      <c r="C38" s="8" t="s">
        <v>24</v>
      </c>
      <c r="D38" s="8" t="s">
        <v>63</v>
      </c>
      <c r="E38" s="83" t="s">
        <v>64</v>
      </c>
      <c r="F38" s="83" t="s">
        <v>65</v>
      </c>
      <c r="G38" s="83" t="s">
        <v>104</v>
      </c>
      <c r="H38" s="84" t="s">
        <v>67</v>
      </c>
      <c r="I38" s="83" t="s">
        <v>68</v>
      </c>
      <c r="J38" s="83" t="s">
        <v>69</v>
      </c>
      <c r="K38" s="84" t="s">
        <v>70</v>
      </c>
      <c r="L38" s="104" t="s">
        <v>105</v>
      </c>
      <c r="M38" s="105" t="s">
        <v>72</v>
      </c>
      <c r="N38" s="106" t="s">
        <v>73</v>
      </c>
    </row>
    <row r="39" spans="2:14" ht="86.25" customHeight="1" x14ac:dyDescent="0.25">
      <c r="B39" s="85" t="str">
        <f t="shared" ref="B39:B50" si="0">navn_Anskaffelseskode</f>
        <v>2507gj-1</v>
      </c>
      <c r="C39" s="85">
        <f t="shared" ref="C39:C50" si="1">navn_delleveranse</f>
        <v>1</v>
      </c>
      <c r="D39" s="85">
        <f t="shared" ref="D39:D57" si="2">navn_leverandornavn_produktfane</f>
        <v>0</v>
      </c>
      <c r="E39" s="116" t="s">
        <v>106</v>
      </c>
      <c r="F39" s="134" t="s">
        <v>48</v>
      </c>
      <c r="G39" s="135" t="s">
        <v>107</v>
      </c>
      <c r="H39" s="101" t="s">
        <v>108</v>
      </c>
      <c r="I39" s="115" t="s">
        <v>78</v>
      </c>
      <c r="J39" s="101"/>
      <c r="K39" s="101" t="s">
        <v>109</v>
      </c>
      <c r="L39" s="143" t="s">
        <v>110</v>
      </c>
      <c r="M39" s="136"/>
      <c r="N39" s="82"/>
    </row>
    <row r="40" spans="2:14" s="10" customFormat="1" ht="117" customHeight="1" x14ac:dyDescent="0.25">
      <c r="B40" s="82" t="str">
        <f t="shared" si="0"/>
        <v>2507gj-1</v>
      </c>
      <c r="C40" s="82">
        <f t="shared" si="1"/>
        <v>1</v>
      </c>
      <c r="D40" s="85">
        <f t="shared" si="2"/>
        <v>0</v>
      </c>
      <c r="E40" s="116" t="s">
        <v>111</v>
      </c>
      <c r="F40" s="135" t="s">
        <v>48</v>
      </c>
      <c r="G40" s="135" t="s">
        <v>107</v>
      </c>
      <c r="H40" s="101" t="s">
        <v>112</v>
      </c>
      <c r="I40" s="115" t="s">
        <v>78</v>
      </c>
      <c r="J40" s="101"/>
      <c r="K40" s="101" t="s">
        <v>113</v>
      </c>
      <c r="L40" s="143"/>
      <c r="M40" s="82"/>
      <c r="N40" s="82"/>
    </row>
    <row r="41" spans="2:14" s="10" customFormat="1" ht="86.25" customHeight="1" x14ac:dyDescent="0.25">
      <c r="B41" s="82" t="str">
        <f t="shared" si="0"/>
        <v>2507gj-1</v>
      </c>
      <c r="C41" s="82">
        <f t="shared" si="1"/>
        <v>1</v>
      </c>
      <c r="D41" s="85">
        <f t="shared" si="2"/>
        <v>0</v>
      </c>
      <c r="E41" s="116" t="s">
        <v>114</v>
      </c>
      <c r="F41" s="135" t="s">
        <v>48</v>
      </c>
      <c r="G41" s="135" t="s">
        <v>107</v>
      </c>
      <c r="H41" s="101" t="s">
        <v>115</v>
      </c>
      <c r="I41" s="115" t="s">
        <v>78</v>
      </c>
      <c r="J41" s="101"/>
      <c r="K41" s="101"/>
      <c r="L41" s="143"/>
      <c r="M41" s="82"/>
      <c r="N41" s="82"/>
    </row>
    <row r="42" spans="2:14" s="10" customFormat="1" ht="149.25" customHeight="1" x14ac:dyDescent="0.25">
      <c r="B42" s="82" t="str">
        <f t="shared" si="0"/>
        <v>2507gj-1</v>
      </c>
      <c r="C42" s="82">
        <f t="shared" si="1"/>
        <v>1</v>
      </c>
      <c r="D42" s="85">
        <f t="shared" si="2"/>
        <v>0</v>
      </c>
      <c r="E42" s="116" t="s">
        <v>116</v>
      </c>
      <c r="F42" s="135" t="s">
        <v>48</v>
      </c>
      <c r="G42" s="135" t="s">
        <v>117</v>
      </c>
      <c r="H42" s="101" t="s">
        <v>368</v>
      </c>
      <c r="I42" s="115" t="s">
        <v>78</v>
      </c>
      <c r="J42" s="101"/>
      <c r="K42" s="101" t="s">
        <v>118</v>
      </c>
      <c r="L42" s="143"/>
      <c r="M42" s="137"/>
      <c r="N42" s="82"/>
    </row>
    <row r="43" spans="2:14" s="10" customFormat="1" ht="86.25" customHeight="1" x14ac:dyDescent="0.25">
      <c r="B43" s="82" t="str">
        <f t="shared" si="0"/>
        <v>2507gj-1</v>
      </c>
      <c r="C43" s="82">
        <f t="shared" si="1"/>
        <v>1</v>
      </c>
      <c r="D43" s="85">
        <f t="shared" si="2"/>
        <v>0</v>
      </c>
      <c r="E43" s="116" t="s">
        <v>119</v>
      </c>
      <c r="F43" s="135" t="s">
        <v>48</v>
      </c>
      <c r="G43" s="135" t="s">
        <v>120</v>
      </c>
      <c r="H43" s="101" t="s">
        <v>121</v>
      </c>
      <c r="I43" s="115" t="s">
        <v>78</v>
      </c>
      <c r="J43" s="101"/>
      <c r="K43" s="101"/>
      <c r="L43" s="143"/>
      <c r="M43" s="82"/>
      <c r="N43" s="82"/>
    </row>
    <row r="44" spans="2:14" s="10" customFormat="1" ht="99" customHeight="1" x14ac:dyDescent="0.25">
      <c r="B44" s="82" t="str">
        <f t="shared" si="0"/>
        <v>2507gj-1</v>
      </c>
      <c r="C44" s="82">
        <f t="shared" si="1"/>
        <v>1</v>
      </c>
      <c r="D44" s="85">
        <f t="shared" si="2"/>
        <v>0</v>
      </c>
      <c r="E44" s="116" t="s">
        <v>122</v>
      </c>
      <c r="F44" s="135" t="s">
        <v>48</v>
      </c>
      <c r="G44" s="135" t="s">
        <v>123</v>
      </c>
      <c r="H44" s="101" t="s">
        <v>124</v>
      </c>
      <c r="I44" s="115" t="s">
        <v>78</v>
      </c>
      <c r="J44" s="101"/>
      <c r="K44" s="101" t="s">
        <v>125</v>
      </c>
      <c r="L44" s="143" t="s">
        <v>110</v>
      </c>
      <c r="M44" s="82"/>
      <c r="N44" s="82" t="s">
        <v>126</v>
      </c>
    </row>
    <row r="45" spans="2:14" s="10" customFormat="1" ht="143.25" customHeight="1" x14ac:dyDescent="0.25">
      <c r="B45" s="82" t="str">
        <f t="shared" si="0"/>
        <v>2507gj-1</v>
      </c>
      <c r="C45" s="82">
        <f t="shared" si="1"/>
        <v>1</v>
      </c>
      <c r="D45" s="85">
        <f t="shared" si="2"/>
        <v>0</v>
      </c>
      <c r="E45" s="116" t="s">
        <v>127</v>
      </c>
      <c r="F45" s="135" t="s">
        <v>48</v>
      </c>
      <c r="G45" s="135" t="s">
        <v>84</v>
      </c>
      <c r="H45" s="101" t="s">
        <v>364</v>
      </c>
      <c r="I45" s="115" t="s">
        <v>78</v>
      </c>
      <c r="J45" s="101"/>
      <c r="K45" s="101" t="s">
        <v>365</v>
      </c>
      <c r="L45" s="143"/>
      <c r="M45" s="82"/>
      <c r="N45" s="82"/>
    </row>
    <row r="46" spans="2:14" s="10" customFormat="1" ht="117.75" customHeight="1" x14ac:dyDescent="0.25">
      <c r="B46" s="82" t="str">
        <f t="shared" si="0"/>
        <v>2507gj-1</v>
      </c>
      <c r="C46" s="82">
        <f t="shared" si="1"/>
        <v>1</v>
      </c>
      <c r="D46" s="85">
        <f t="shared" si="2"/>
        <v>0</v>
      </c>
      <c r="E46" s="116" t="s">
        <v>128</v>
      </c>
      <c r="F46" s="135" t="s">
        <v>48</v>
      </c>
      <c r="G46" s="135" t="s">
        <v>129</v>
      </c>
      <c r="H46" s="101" t="s">
        <v>130</v>
      </c>
      <c r="I46" s="115" t="s">
        <v>78</v>
      </c>
      <c r="J46" s="101"/>
      <c r="K46" s="101" t="s">
        <v>131</v>
      </c>
      <c r="L46" s="143"/>
      <c r="M46" s="82"/>
      <c r="N46" s="82"/>
    </row>
    <row r="47" spans="2:14" ht="86.25" customHeight="1" x14ac:dyDescent="0.25">
      <c r="B47" s="85" t="str">
        <f t="shared" si="0"/>
        <v>2507gj-1</v>
      </c>
      <c r="C47" s="85">
        <f t="shared" si="1"/>
        <v>1</v>
      </c>
      <c r="D47" s="85">
        <f t="shared" si="2"/>
        <v>0</v>
      </c>
      <c r="E47" s="116" t="s">
        <v>132</v>
      </c>
      <c r="F47" s="135" t="s">
        <v>48</v>
      </c>
      <c r="G47" s="135" t="s">
        <v>133</v>
      </c>
      <c r="H47" s="101" t="s">
        <v>134</v>
      </c>
      <c r="I47" s="115" t="s">
        <v>88</v>
      </c>
      <c r="J47" s="101" t="s">
        <v>135</v>
      </c>
      <c r="K47" s="101" t="s">
        <v>136</v>
      </c>
      <c r="L47" s="143"/>
      <c r="M47" s="82"/>
      <c r="N47" s="82"/>
    </row>
    <row r="48" spans="2:14" ht="86.25" customHeight="1" x14ac:dyDescent="0.25">
      <c r="B48" s="85" t="str">
        <f t="shared" si="0"/>
        <v>2507gj-1</v>
      </c>
      <c r="C48" s="85">
        <f t="shared" si="1"/>
        <v>1</v>
      </c>
      <c r="D48" s="85">
        <f t="shared" si="2"/>
        <v>0</v>
      </c>
      <c r="E48" s="116" t="s">
        <v>137</v>
      </c>
      <c r="F48" s="140" t="s">
        <v>48</v>
      </c>
      <c r="G48" s="138" t="s">
        <v>133</v>
      </c>
      <c r="H48" s="101" t="s">
        <v>138</v>
      </c>
      <c r="I48" s="115" t="s">
        <v>88</v>
      </c>
      <c r="J48" s="101" t="s">
        <v>135</v>
      </c>
      <c r="K48" s="101" t="s">
        <v>139</v>
      </c>
      <c r="L48" s="143"/>
      <c r="M48" s="82"/>
      <c r="N48" s="82"/>
    </row>
    <row r="49" spans="2:14" ht="86.25" customHeight="1" x14ac:dyDescent="0.25">
      <c r="B49" s="85" t="str">
        <f t="shared" si="0"/>
        <v>2507gj-1</v>
      </c>
      <c r="C49" s="85">
        <f t="shared" si="1"/>
        <v>1</v>
      </c>
      <c r="D49" s="85">
        <f t="shared" si="2"/>
        <v>0</v>
      </c>
      <c r="E49" s="116" t="s">
        <v>140</v>
      </c>
      <c r="F49" s="140" t="s">
        <v>48</v>
      </c>
      <c r="G49" s="138" t="s">
        <v>133</v>
      </c>
      <c r="H49" s="101" t="s">
        <v>141</v>
      </c>
      <c r="I49" s="115" t="s">
        <v>88</v>
      </c>
      <c r="J49" s="101" t="s">
        <v>135</v>
      </c>
      <c r="K49" s="101" t="s">
        <v>139</v>
      </c>
      <c r="L49" s="143"/>
      <c r="M49" s="82"/>
      <c r="N49" s="82"/>
    </row>
    <row r="50" spans="2:14" ht="72" customHeight="1" x14ac:dyDescent="0.25">
      <c r="B50" s="85" t="str">
        <f t="shared" si="0"/>
        <v>2507gj-1</v>
      </c>
      <c r="C50" s="85">
        <f t="shared" si="1"/>
        <v>1</v>
      </c>
      <c r="D50" s="85">
        <f t="shared" si="2"/>
        <v>0</v>
      </c>
      <c r="E50" s="116" t="s">
        <v>142</v>
      </c>
      <c r="F50" s="135" t="s">
        <v>48</v>
      </c>
      <c r="G50" s="135" t="s">
        <v>133</v>
      </c>
      <c r="H50" s="101" t="s">
        <v>143</v>
      </c>
      <c r="I50" s="115" t="s">
        <v>88</v>
      </c>
      <c r="J50" s="101" t="s">
        <v>135</v>
      </c>
      <c r="K50" s="101" t="s">
        <v>144</v>
      </c>
      <c r="L50" s="143"/>
      <c r="M50" s="82"/>
      <c r="N50" s="82"/>
    </row>
    <row r="51" spans="2:14" ht="86.25" customHeight="1" x14ac:dyDescent="0.25">
      <c r="B51" s="85" t="str">
        <f t="shared" ref="B51:B55" si="3">navn_Anskaffelseskode</f>
        <v>2507gj-1</v>
      </c>
      <c r="C51" s="85">
        <f t="shared" ref="C51:C55" si="4">navn_delleveranse</f>
        <v>1</v>
      </c>
      <c r="D51" s="85">
        <f t="shared" si="2"/>
        <v>0</v>
      </c>
      <c r="E51" s="116" t="s">
        <v>145</v>
      </c>
      <c r="F51" s="140" t="s">
        <v>48</v>
      </c>
      <c r="G51" s="138" t="s">
        <v>133</v>
      </c>
      <c r="H51" s="101" t="s">
        <v>146</v>
      </c>
      <c r="I51" s="115" t="s">
        <v>88</v>
      </c>
      <c r="J51" s="101" t="s">
        <v>147</v>
      </c>
      <c r="K51" s="101" t="s">
        <v>148</v>
      </c>
      <c r="L51" s="143"/>
      <c r="M51" s="82"/>
      <c r="N51" s="82"/>
    </row>
    <row r="52" spans="2:14" ht="86.25" customHeight="1" x14ac:dyDescent="0.25">
      <c r="B52" s="85" t="str">
        <f t="shared" si="3"/>
        <v>2507gj-1</v>
      </c>
      <c r="C52" s="85">
        <f t="shared" si="4"/>
        <v>1</v>
      </c>
      <c r="D52" s="85">
        <f t="shared" si="2"/>
        <v>0</v>
      </c>
      <c r="E52" s="116" t="s">
        <v>369</v>
      </c>
      <c r="F52" s="138" t="s">
        <v>366</v>
      </c>
      <c r="G52" s="138" t="s">
        <v>149</v>
      </c>
      <c r="H52" s="139" t="s">
        <v>152</v>
      </c>
      <c r="I52" s="115" t="s">
        <v>88</v>
      </c>
      <c r="J52" s="101" t="s">
        <v>150</v>
      </c>
      <c r="K52" s="85" t="s">
        <v>153</v>
      </c>
      <c r="L52" s="143"/>
      <c r="M52" s="82"/>
      <c r="N52" s="82"/>
    </row>
    <row r="53" spans="2:14" ht="86.25" customHeight="1" x14ac:dyDescent="0.25">
      <c r="B53" s="85" t="str">
        <f t="shared" si="3"/>
        <v>2507gj-1</v>
      </c>
      <c r="C53" s="85">
        <f t="shared" si="4"/>
        <v>1</v>
      </c>
      <c r="D53" s="85">
        <f t="shared" si="2"/>
        <v>0</v>
      </c>
      <c r="E53" s="116" t="s">
        <v>151</v>
      </c>
      <c r="F53" s="138" t="s">
        <v>366</v>
      </c>
      <c r="G53" s="138" t="s">
        <v>149</v>
      </c>
      <c r="H53" s="139" t="s">
        <v>155</v>
      </c>
      <c r="I53" s="115" t="s">
        <v>88</v>
      </c>
      <c r="J53" s="101" t="s">
        <v>150</v>
      </c>
      <c r="K53" s="85" t="s">
        <v>156</v>
      </c>
      <c r="L53" s="143"/>
      <c r="M53" s="82"/>
      <c r="N53" s="82"/>
    </row>
    <row r="54" spans="2:14" ht="86.25" customHeight="1" x14ac:dyDescent="0.25">
      <c r="B54" s="85" t="str">
        <f t="shared" si="3"/>
        <v>2507gj-1</v>
      </c>
      <c r="C54" s="85">
        <f t="shared" si="4"/>
        <v>1</v>
      </c>
      <c r="D54" s="85">
        <f t="shared" si="2"/>
        <v>0</v>
      </c>
      <c r="E54" s="116" t="s">
        <v>154</v>
      </c>
      <c r="F54" s="140" t="s">
        <v>49</v>
      </c>
      <c r="G54" s="138" t="s">
        <v>158</v>
      </c>
      <c r="H54" s="101" t="s">
        <v>159</v>
      </c>
      <c r="I54" s="115" t="s">
        <v>88</v>
      </c>
      <c r="J54" s="101" t="s">
        <v>157</v>
      </c>
      <c r="K54" s="101" t="s">
        <v>160</v>
      </c>
      <c r="L54" s="143"/>
      <c r="M54" s="82"/>
      <c r="N54" s="82"/>
    </row>
    <row r="55" spans="2:14" ht="86.25" customHeight="1" x14ac:dyDescent="0.25">
      <c r="B55" s="85" t="str">
        <f t="shared" si="3"/>
        <v>2507gj-1</v>
      </c>
      <c r="C55" s="85">
        <f t="shared" si="4"/>
        <v>1</v>
      </c>
      <c r="D55" s="85">
        <f t="shared" si="2"/>
        <v>0</v>
      </c>
      <c r="E55" s="116"/>
      <c r="F55" s="138"/>
      <c r="G55" s="138"/>
      <c r="H55" s="101"/>
      <c r="I55" s="115"/>
      <c r="J55" s="101"/>
      <c r="K55" s="101"/>
      <c r="L55" s="144"/>
      <c r="M55" s="82"/>
      <c r="N55" s="82"/>
    </row>
    <row r="56" spans="2:14" ht="102" customHeight="1" x14ac:dyDescent="0.25">
      <c r="B56" s="85" t="str">
        <f t="shared" ref="B56" si="5">navn_Anskaffelseskode</f>
        <v>2507gj-1</v>
      </c>
      <c r="C56" s="85">
        <f t="shared" ref="C56" si="6">navn_delleveranse</f>
        <v>1</v>
      </c>
      <c r="D56" s="85">
        <f t="shared" si="2"/>
        <v>0</v>
      </c>
      <c r="E56" s="116"/>
      <c r="F56" s="138"/>
      <c r="G56" s="138"/>
      <c r="H56" s="101"/>
      <c r="I56" s="115"/>
      <c r="J56" s="101"/>
      <c r="K56" s="101"/>
      <c r="L56" s="143"/>
      <c r="M56" s="142"/>
      <c r="N56" s="82"/>
    </row>
    <row r="57" spans="2:14" ht="86.25" customHeight="1" x14ac:dyDescent="0.25">
      <c r="B57" s="85" t="str">
        <f t="shared" ref="B57" si="7">navn_Anskaffelseskode</f>
        <v>2507gj-1</v>
      </c>
      <c r="C57" s="85">
        <f t="shared" ref="C57" si="8">navn_delleveranse</f>
        <v>1</v>
      </c>
      <c r="D57" s="85">
        <f t="shared" si="2"/>
        <v>0</v>
      </c>
      <c r="E57" s="116"/>
      <c r="F57" s="140"/>
      <c r="G57" s="138"/>
      <c r="H57" s="101"/>
      <c r="I57" s="115"/>
      <c r="J57" s="101"/>
      <c r="K57" s="101"/>
      <c r="L57" s="143"/>
      <c r="M57" s="82"/>
      <c r="N57" s="82"/>
    </row>
  </sheetData>
  <sheetProtection formatColumns="0" formatRows="0"/>
  <mergeCells count="25">
    <mergeCell ref="E6:G6"/>
    <mergeCell ref="E7:G7"/>
    <mergeCell ref="E8:G8"/>
    <mergeCell ref="E9:G9"/>
    <mergeCell ref="E10:G10"/>
    <mergeCell ref="E11:G11"/>
    <mergeCell ref="E12:G12"/>
    <mergeCell ref="E13:G13"/>
    <mergeCell ref="E16:G16"/>
    <mergeCell ref="E37:K37"/>
    <mergeCell ref="H20:J20"/>
    <mergeCell ref="H18:J18"/>
    <mergeCell ref="E18:G18"/>
    <mergeCell ref="H16:J16"/>
    <mergeCell ref="E17:G17"/>
    <mergeCell ref="H17:J17"/>
    <mergeCell ref="L37:N37"/>
    <mergeCell ref="H21:J21"/>
    <mergeCell ref="E22:G22"/>
    <mergeCell ref="E23:G23"/>
    <mergeCell ref="H23:J23"/>
    <mergeCell ref="E24:G24"/>
    <mergeCell ref="H24:J24"/>
    <mergeCell ref="E21:G21"/>
    <mergeCell ref="H22:J22"/>
  </mergeCells>
  <phoneticPr fontId="24" type="noConversion"/>
  <conditionalFormatting sqref="E13:J13 E7:H12">
    <cfRule type="expression" dxfId="34" priority="750">
      <formula>$H7=0</formula>
    </cfRule>
  </conditionalFormatting>
  <conditionalFormatting sqref="E39:N57">
    <cfRule type="expression" dxfId="33" priority="726">
      <formula>IF(AND(toggle_betingetFormatering="JA",AND($E$19&lt;&gt;$F39,$F$19&lt;&gt;$F39,$G$19&lt;&gt;$F39,$H$19&lt;&gt;$F39,$I$19&lt;&gt;$F39,$J$19&lt;&gt;$F39,$K$19&lt;&gt;$F39,$L$19&lt;&gt;$F39,$M$19&lt;&gt;$F39,$N$19&lt;&gt;$F39)),TRUE,FALSE)</formula>
    </cfRule>
    <cfRule type="expression" dxfId="32" priority="727">
      <formula>$J39="MP"</formula>
    </cfRule>
    <cfRule type="expression" dxfId="31" priority="728">
      <formula>$J39="ML"</formula>
    </cfRule>
    <cfRule type="expression" dxfId="30" priority="729">
      <formula>$J39="OL"</formula>
    </cfRule>
    <cfRule type="expression" dxfId="29" priority="730">
      <formula>OR($J39="LP",$J39="LP1",$J39="LP2",$J39="LP3",$J39="LL")</formula>
    </cfRule>
    <cfRule type="expression" dxfId="28" priority="731">
      <formula>$J39="Pris"</formula>
    </cfRule>
    <cfRule type="expression" dxfId="27" priority="732">
      <formula>$J39="PP"</formula>
    </cfRule>
  </conditionalFormatting>
  <conditionalFormatting sqref="G35">
    <cfRule type="expression" dxfId="26" priority="756">
      <formula>toggle_betingetFormatering="JA"</formula>
    </cfRule>
  </conditionalFormatting>
  <conditionalFormatting sqref="H14">
    <cfRule type="expression" dxfId="25" priority="754">
      <formula>SUM($H$7:$H$13)=1</formula>
    </cfRule>
  </conditionalFormatting>
  <conditionalFormatting sqref="H13:J13 H7:H12">
    <cfRule type="expression" dxfId="24" priority="762">
      <formula>SUM($H$7:$H$13)&lt;&gt;1</formula>
    </cfRule>
  </conditionalFormatting>
  <dataValidations count="2">
    <dataValidation type="decimal" allowBlank="1" showInputMessage="1" showErrorMessage="1" sqref="L55" xr:uid="{82152F72-9795-456D-82FD-1ED484212262}">
      <formula1>0</formula1>
      <formula2>1</formula2>
    </dataValidation>
    <dataValidation type="list" allowBlank="1" showInputMessage="1" showErrorMessage="1" sqref="I39:I57" xr:uid="{C44CA614-9362-4018-8A93-B132E26C8596}">
      <formula1>kravtype</formula1>
    </dataValidation>
  </dataValidations>
  <pageMargins left="0.7" right="0.7" top="0.75" bottom="0.75" header="0.3" footer="0.3"/>
  <pageSetup paperSize="9" orientation="portrait" r:id="rId1"/>
  <tableParts count="2">
    <tablePart r:id="rId2"/>
    <tablePart r:id="rId3"/>
  </tableParts>
  <extLst>
    <ext xmlns:x14="http://schemas.microsoft.com/office/spreadsheetml/2009/9/main" uri="{CCE6A557-97BC-4b89-ADB6-D9C93CAAB3DF}">
      <x14:dataValidations xmlns:xm="http://schemas.microsoft.com/office/excel/2006/main" count="10">
        <x14:dataValidation type="list" allowBlank="1" showInputMessage="1" showErrorMessage="1" xr:uid="{BF43EF59-9164-4178-AB28-662450A94A12}">
          <x14:formula1>
            <xm:f>Lister!$F$43</xm:f>
          </x14:formula1>
          <xm:sqref>L40:L41 L43 L46</xm:sqref>
        </x14:dataValidation>
        <x14:dataValidation type="list" allowBlank="1" showInputMessage="1" showErrorMessage="1" xr:uid="{781CA75D-6872-4C6A-B42A-378651C887D5}">
          <x14:formula1>
            <xm:f>Lister!$N$43:$N$44</xm:f>
          </x14:formula1>
          <xm:sqref>L42</xm:sqref>
        </x14:dataValidation>
        <x14:dataValidation type="list" allowBlank="1" showInputMessage="1" showErrorMessage="1" xr:uid="{69287438-3E7D-46D3-BED2-14734350F12B}">
          <x14:formula1>
            <xm:f>Lister!$D$43:$D$48</xm:f>
          </x14:formula1>
          <xm:sqref>L47</xm:sqref>
        </x14:dataValidation>
        <x14:dataValidation type="list" allowBlank="1" showInputMessage="1" showErrorMessage="1" xr:uid="{BA445C61-6264-4D8E-8781-36E6FD7D2029}">
          <x14:formula1>
            <xm:f>Lister!$T$43:$T$45</xm:f>
          </x14:formula1>
          <xm:sqref>L48:L49</xm:sqref>
        </x14:dataValidation>
        <x14:dataValidation type="list" allowBlank="1" showInputMessage="1" showErrorMessage="1" xr:uid="{ECD2C702-81BA-4C05-BC67-F3C40270C81E}">
          <x14:formula1>
            <xm:f>Lister!$A$43:$A$44</xm:f>
          </x14:formula1>
          <xm:sqref>L50</xm:sqref>
        </x14:dataValidation>
        <x14:dataValidation type="list" allowBlank="1" showInputMessage="1" showErrorMessage="1" xr:uid="{5B0278EE-4716-4576-8436-732DD504FABD}">
          <x14:formula1>
            <xm:f>Lister!$C$43:$C$46</xm:f>
          </x14:formula1>
          <xm:sqref>L51</xm:sqref>
        </x14:dataValidation>
        <x14:dataValidation type="list" allowBlank="1" showInputMessage="1" showErrorMessage="1" xr:uid="{7744EA70-8B15-446E-B674-3D2FA52FCBBC}">
          <x14:formula1>
            <xm:f>Lister!$Q$43:$Q$47</xm:f>
          </x14:formula1>
          <xm:sqref>L52</xm:sqref>
        </x14:dataValidation>
        <x14:dataValidation type="list" allowBlank="1" showInputMessage="1" showErrorMessage="1" xr:uid="{4313B982-6842-4994-B5CB-3F4A72ACB2C4}">
          <x14:formula1>
            <xm:f>Lister!$R$43:$R$47</xm:f>
          </x14:formula1>
          <xm:sqref>L53</xm:sqref>
        </x14:dataValidation>
        <x14:dataValidation type="list" allowBlank="1" showInputMessage="1" showErrorMessage="1" xr:uid="{1392C32E-EA9F-4B84-A1FB-7EB9563F98F3}">
          <x14:formula1>
            <xm:f>Lister!$M$43:$M$46</xm:f>
          </x14:formula1>
          <xm:sqref>L54</xm:sqref>
        </x14:dataValidation>
        <x14:dataValidation type="list" allowBlank="1" showInputMessage="1" showErrorMessage="1" xr:uid="{B2B3C463-5CBE-4070-B6F6-AD745A533569}">
          <x14:formula1>
            <xm:f>Lister!$AC$43:$AC$44</xm:f>
          </x14:formula1>
          <xm:sqref>L45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51E4-4F3B-4A28-AEC7-8B7779F19C13}">
  <dimension ref="A1:AD109"/>
  <sheetViews>
    <sheetView topLeftCell="L33" zoomScale="80" workbookViewId="0">
      <selection activeCell="O44" sqref="O44"/>
    </sheetView>
  </sheetViews>
  <sheetFormatPr baseColWidth="10" defaultColWidth="11.42578125" defaultRowHeight="15" x14ac:dyDescent="0.25"/>
  <cols>
    <col min="1" max="1" width="72.42578125" customWidth="1"/>
    <col min="2" max="2" width="36.85546875" customWidth="1"/>
    <col min="3" max="3" width="10.42578125" customWidth="1"/>
    <col min="4" max="4" width="49.5703125" customWidth="1"/>
    <col min="5" max="5" width="21" customWidth="1"/>
    <col min="6" max="6" width="16.42578125" customWidth="1"/>
    <col min="8" max="8" width="23.140625" customWidth="1"/>
    <col min="9" max="9" width="51.42578125" customWidth="1"/>
    <col min="10" max="10" width="30.5703125" customWidth="1"/>
    <col min="11" max="11" width="53" customWidth="1"/>
    <col min="12" max="13" width="87.42578125" style="55" customWidth="1"/>
    <col min="14" max="14" width="8.140625" customWidth="1"/>
    <col min="15" max="15" width="35" customWidth="1"/>
    <col min="16" max="16" width="43.5703125" customWidth="1"/>
    <col min="17" max="18" width="26.5703125" customWidth="1"/>
    <col min="19" max="19" width="31.85546875" customWidth="1"/>
    <col min="20" max="20" width="26.5703125" customWidth="1"/>
    <col min="22" max="22" width="19.140625" customWidth="1"/>
    <col min="23" max="23" width="28.5703125" customWidth="1"/>
  </cols>
  <sheetData>
    <row r="1" spans="1:22" ht="28.5" x14ac:dyDescent="0.25">
      <c r="A1" s="52" t="s">
        <v>161</v>
      </c>
      <c r="J1" s="26"/>
    </row>
    <row r="2" spans="1:22" x14ac:dyDescent="0.25">
      <c r="J2" s="26"/>
    </row>
    <row r="3" spans="1:22" ht="37.5" customHeight="1" x14ac:dyDescent="0.25">
      <c r="A3" s="89" t="s">
        <v>162</v>
      </c>
      <c r="L3" s="53" t="s">
        <v>163</v>
      </c>
      <c r="M3" s="53"/>
    </row>
    <row r="4" spans="1:22" x14ac:dyDescent="0.25">
      <c r="A4" s="90"/>
      <c r="D4" s="17" t="s">
        <v>164</v>
      </c>
      <c r="E4" s="25"/>
      <c r="L4" s="55" t="s">
        <v>165</v>
      </c>
    </row>
    <row r="5" spans="1:22" x14ac:dyDescent="0.25">
      <c r="A5" s="90"/>
      <c r="D5" s="17" t="s">
        <v>166</v>
      </c>
      <c r="E5" s="25"/>
    </row>
    <row r="6" spans="1:22" ht="30" x14ac:dyDescent="0.25">
      <c r="A6" s="90" t="s">
        <v>167</v>
      </c>
      <c r="D6" s="23" t="s">
        <v>168</v>
      </c>
      <c r="E6" s="29" t="s">
        <v>361</v>
      </c>
      <c r="G6" t="s">
        <v>169</v>
      </c>
      <c r="H6" t="str">
        <f>navn_Anskaffelseskode&amp;Dokumentnummer</f>
        <v>2507gj-1Bilag 3</v>
      </c>
      <c r="L6" s="55" t="s">
        <v>170</v>
      </c>
      <c r="N6" s="51"/>
    </row>
    <row r="7" spans="1:22" ht="15" customHeight="1" x14ac:dyDescent="0.25">
      <c r="A7" s="90"/>
      <c r="D7" s="24" t="s">
        <v>171</v>
      </c>
      <c r="E7" s="30" t="s">
        <v>362</v>
      </c>
      <c r="G7" t="s">
        <v>172</v>
      </c>
    </row>
    <row r="8" spans="1:22" ht="15" customHeight="1" x14ac:dyDescent="0.25">
      <c r="A8" s="90" t="s">
        <v>173</v>
      </c>
      <c r="D8" s="23" t="s">
        <v>174</v>
      </c>
      <c r="E8" s="31" t="s">
        <v>175</v>
      </c>
      <c r="G8" t="s">
        <v>176</v>
      </c>
      <c r="L8" s="55" t="s">
        <v>177</v>
      </c>
    </row>
    <row r="9" spans="1:22" ht="15" customHeight="1" x14ac:dyDescent="0.25">
      <c r="A9" s="90" t="s">
        <v>178</v>
      </c>
      <c r="D9" s="24" t="s">
        <v>179</v>
      </c>
      <c r="E9" s="30" t="s">
        <v>362</v>
      </c>
      <c r="G9" t="s">
        <v>180</v>
      </c>
    </row>
    <row r="10" spans="1:22" ht="56.25" customHeight="1" x14ac:dyDescent="0.3">
      <c r="A10" s="91" t="s">
        <v>181</v>
      </c>
      <c r="D10" t="s">
        <v>182</v>
      </c>
      <c r="F10" t="s">
        <v>183</v>
      </c>
    </row>
    <row r="11" spans="1:22" ht="23.25" customHeight="1" x14ac:dyDescent="0.25">
      <c r="A11" s="92"/>
      <c r="E11" s="25"/>
      <c r="L11" s="17" t="s">
        <v>184</v>
      </c>
      <c r="M11" s="17"/>
    </row>
    <row r="12" spans="1:22" ht="22.5" customHeight="1" thickBot="1" x14ac:dyDescent="0.3">
      <c r="D12" t="s">
        <v>185</v>
      </c>
      <c r="E12" s="25"/>
      <c r="L12"/>
      <c r="M12" t="s">
        <v>186</v>
      </c>
      <c r="N12" t="s">
        <v>187</v>
      </c>
      <c r="O12" t="s">
        <v>188</v>
      </c>
      <c r="P12" t="s">
        <v>189</v>
      </c>
      <c r="Q12" t="s">
        <v>190</v>
      </c>
      <c r="R12" t="s">
        <v>191</v>
      </c>
      <c r="V12" t="s">
        <v>192</v>
      </c>
    </row>
    <row r="13" spans="1:22" ht="142.5" thickBot="1" x14ac:dyDescent="0.3">
      <c r="A13" s="90" t="s">
        <v>193</v>
      </c>
      <c r="D13" t="s">
        <v>194</v>
      </c>
      <c r="L13" s="46" t="s">
        <v>24</v>
      </c>
      <c r="M13" s="117" t="s">
        <v>25</v>
      </c>
      <c r="N13" s="118" t="s">
        <v>26</v>
      </c>
      <c r="O13" s="117" t="s">
        <v>27</v>
      </c>
      <c r="P13" s="119" t="s">
        <v>28</v>
      </c>
      <c r="Q13" s="117" t="s">
        <v>29</v>
      </c>
      <c r="R13" s="117" t="s">
        <v>30</v>
      </c>
      <c r="S13" s="47" t="s">
        <v>31</v>
      </c>
      <c r="T13" s="47" t="s">
        <v>32</v>
      </c>
      <c r="U13" s="47" t="s">
        <v>33</v>
      </c>
      <c r="V13" s="47" t="s">
        <v>195</v>
      </c>
    </row>
    <row r="14" spans="1:22" ht="90.75" thickBot="1" x14ac:dyDescent="0.3">
      <c r="A14" s="90" t="s">
        <v>196</v>
      </c>
      <c r="L14" s="48">
        <v>1</v>
      </c>
      <c r="M14" s="49"/>
      <c r="N14" s="49" t="s">
        <v>197</v>
      </c>
      <c r="O14" s="49" t="s">
        <v>198</v>
      </c>
      <c r="P14" s="49" t="s">
        <v>199</v>
      </c>
      <c r="Q14" s="49" t="s">
        <v>200</v>
      </c>
      <c r="R14" s="49"/>
      <c r="S14" s="49" t="s">
        <v>47</v>
      </c>
      <c r="T14" s="49" t="s">
        <v>201</v>
      </c>
      <c r="U14" s="49" t="s">
        <v>202</v>
      </c>
      <c r="V14" s="49" t="s">
        <v>203</v>
      </c>
    </row>
    <row r="15" spans="1:22" ht="90.75" thickBot="1" x14ac:dyDescent="0.3">
      <c r="A15" s="90" t="s">
        <v>204</v>
      </c>
      <c r="D15" s="17" t="s">
        <v>205</v>
      </c>
      <c r="L15" s="48">
        <v>2</v>
      </c>
      <c r="M15" s="49"/>
      <c r="N15" s="49" t="s">
        <v>197</v>
      </c>
      <c r="O15" s="49" t="s">
        <v>206</v>
      </c>
      <c r="P15" s="49" t="s">
        <v>207</v>
      </c>
      <c r="Q15" s="49"/>
      <c r="R15" s="49" t="s">
        <v>50</v>
      </c>
      <c r="S15" s="49" t="s">
        <v>47</v>
      </c>
      <c r="T15" s="49" t="s">
        <v>208</v>
      </c>
      <c r="U15" s="49">
        <v>180</v>
      </c>
      <c r="V15" s="49" t="s">
        <v>203</v>
      </c>
    </row>
    <row r="16" spans="1:22" x14ac:dyDescent="0.25">
      <c r="A16" s="90"/>
      <c r="D16" t="s">
        <v>209</v>
      </c>
    </row>
    <row r="17" spans="1:14" x14ac:dyDescent="0.25">
      <c r="A17" s="90" t="s">
        <v>210</v>
      </c>
      <c r="D17" t="s">
        <v>211</v>
      </c>
    </row>
    <row r="18" spans="1:14" x14ac:dyDescent="0.25">
      <c r="A18" s="26"/>
      <c r="D18" t="s">
        <v>212</v>
      </c>
    </row>
    <row r="19" spans="1:14" x14ac:dyDescent="0.25">
      <c r="A19" s="90" t="s">
        <v>213</v>
      </c>
      <c r="D19" t="s">
        <v>214</v>
      </c>
    </row>
    <row r="20" spans="1:14" x14ac:dyDescent="0.25">
      <c r="A20" s="26"/>
    </row>
    <row r="21" spans="1:14" ht="30" x14ac:dyDescent="0.25">
      <c r="A21" s="90" t="s">
        <v>215</v>
      </c>
      <c r="D21" s="45" t="s">
        <v>216</v>
      </c>
    </row>
    <row r="22" spans="1:14" x14ac:dyDescent="0.25">
      <c r="A22" s="90"/>
      <c r="D22" t="s">
        <v>217</v>
      </c>
      <c r="N22" s="51"/>
    </row>
    <row r="23" spans="1:14" ht="30" x14ac:dyDescent="0.25">
      <c r="A23" s="90" t="s">
        <v>218</v>
      </c>
      <c r="D23" t="s">
        <v>219</v>
      </c>
      <c r="N23" s="50"/>
    </row>
    <row r="24" spans="1:14" x14ac:dyDescent="0.25">
      <c r="D24" t="s">
        <v>220</v>
      </c>
      <c r="J24" s="26"/>
      <c r="K24" s="55"/>
      <c r="N24" s="50"/>
    </row>
    <row r="25" spans="1:14" x14ac:dyDescent="0.25">
      <c r="A25" t="s">
        <v>221</v>
      </c>
      <c r="D25" s="44" t="s">
        <v>222</v>
      </c>
      <c r="J25" s="26"/>
    </row>
    <row r="26" spans="1:14" x14ac:dyDescent="0.25">
      <c r="A26" s="77" t="s">
        <v>47</v>
      </c>
      <c r="D26" t="s">
        <v>223</v>
      </c>
      <c r="J26" s="26"/>
    </row>
    <row r="27" spans="1:14" x14ac:dyDescent="0.25">
      <c r="J27" s="26"/>
    </row>
    <row r="28" spans="1:14" x14ac:dyDescent="0.25">
      <c r="D28" s="17" t="s">
        <v>224</v>
      </c>
      <c r="J28" s="26"/>
    </row>
    <row r="29" spans="1:14" x14ac:dyDescent="0.25">
      <c r="D29" s="37" t="s">
        <v>225</v>
      </c>
      <c r="J29" s="26"/>
    </row>
    <row r="30" spans="1:14" x14ac:dyDescent="0.25">
      <c r="D30" s="37" t="s">
        <v>226</v>
      </c>
      <c r="J30" s="26"/>
    </row>
    <row r="31" spans="1:14" x14ac:dyDescent="0.25">
      <c r="D31" s="37" t="s">
        <v>227</v>
      </c>
      <c r="J31" s="26"/>
    </row>
    <row r="32" spans="1:14" x14ac:dyDescent="0.25">
      <c r="D32" s="37" t="s">
        <v>228</v>
      </c>
      <c r="J32" s="26"/>
    </row>
    <row r="33" spans="1:30" x14ac:dyDescent="0.25">
      <c r="D33" s="44" t="s">
        <v>229</v>
      </c>
      <c r="J33" s="26"/>
    </row>
    <row r="34" spans="1:30" x14ac:dyDescent="0.25">
      <c r="D34" s="44" t="s">
        <v>230</v>
      </c>
      <c r="J34" s="26"/>
    </row>
    <row r="35" spans="1:30" x14ac:dyDescent="0.25">
      <c r="D35" s="37" t="s">
        <v>231</v>
      </c>
      <c r="J35" s="26"/>
    </row>
    <row r="36" spans="1:30" x14ac:dyDescent="0.25">
      <c r="D36" t="s">
        <v>232</v>
      </c>
      <c r="J36" s="26"/>
      <c r="L36" s="54"/>
      <c r="M36" s="54"/>
    </row>
    <row r="37" spans="1:30" x14ac:dyDescent="0.25">
      <c r="D37" t="s">
        <v>233</v>
      </c>
      <c r="J37" s="26"/>
      <c r="L37" s="54"/>
      <c r="M37" s="54"/>
    </row>
    <row r="38" spans="1:30" x14ac:dyDescent="0.25">
      <c r="D38" s="37" t="s">
        <v>234</v>
      </c>
      <c r="L38" s="54"/>
      <c r="M38" s="54"/>
    </row>
    <row r="39" spans="1:30" x14ac:dyDescent="0.25">
      <c r="L39" s="54"/>
      <c r="M39" s="54"/>
    </row>
    <row r="40" spans="1:30" x14ac:dyDescent="0.25">
      <c r="L40" s="54"/>
      <c r="M40" s="54"/>
    </row>
    <row r="41" spans="1:30" x14ac:dyDescent="0.25">
      <c r="A41" s="17" t="s">
        <v>235</v>
      </c>
      <c r="L41" s="54"/>
      <c r="M41" s="54"/>
    </row>
    <row r="42" spans="1:30" ht="44.25" customHeight="1" x14ac:dyDescent="0.25">
      <c r="A42" s="26" t="s">
        <v>236</v>
      </c>
      <c r="B42" s="26" t="s">
        <v>237</v>
      </c>
      <c r="C42" s="26" t="s">
        <v>238</v>
      </c>
      <c r="D42" s="26" t="s">
        <v>239</v>
      </c>
      <c r="E42" s="26" t="s">
        <v>240</v>
      </c>
      <c r="F42" s="26" t="s">
        <v>241</v>
      </c>
      <c r="G42" s="26" t="s">
        <v>242</v>
      </c>
      <c r="H42" s="26" t="s">
        <v>243</v>
      </c>
      <c r="I42" s="26" t="s">
        <v>69</v>
      </c>
      <c r="J42" s="26" t="s">
        <v>244</v>
      </c>
      <c r="K42" s="26" t="s">
        <v>245</v>
      </c>
      <c r="L42" s="26" t="s">
        <v>246</v>
      </c>
      <c r="M42" s="26" t="s">
        <v>247</v>
      </c>
      <c r="N42" s="26" t="s">
        <v>248</v>
      </c>
      <c r="O42" s="26" t="s">
        <v>249</v>
      </c>
      <c r="P42" s="26" t="s">
        <v>250</v>
      </c>
      <c r="Q42" s="26" t="s">
        <v>251</v>
      </c>
      <c r="R42" s="26" t="s">
        <v>252</v>
      </c>
      <c r="S42" s="26" t="s">
        <v>253</v>
      </c>
      <c r="T42" s="26" t="s">
        <v>254</v>
      </c>
      <c r="U42" s="26" t="s">
        <v>255</v>
      </c>
      <c r="V42" s="26" t="s">
        <v>256</v>
      </c>
      <c r="W42" s="26" t="s">
        <v>45</v>
      </c>
      <c r="X42" s="26" t="s">
        <v>257</v>
      </c>
      <c r="Y42" s="26" t="s">
        <v>258</v>
      </c>
      <c r="Z42" s="26" t="s">
        <v>129</v>
      </c>
      <c r="AA42" s="26" t="s">
        <v>259</v>
      </c>
      <c r="AB42" s="26" t="s">
        <v>260</v>
      </c>
      <c r="AC42" s="26" t="s">
        <v>261</v>
      </c>
      <c r="AD42" s="26" t="s">
        <v>262</v>
      </c>
    </row>
    <row r="43" spans="1:30" ht="102" customHeight="1" x14ac:dyDescent="0.25">
      <c r="A43" t="s">
        <v>47</v>
      </c>
      <c r="B43">
        <v>60</v>
      </c>
      <c r="C43">
        <v>0</v>
      </c>
      <c r="D43">
        <v>1</v>
      </c>
      <c r="E43" t="s">
        <v>47</v>
      </c>
      <c r="F43" t="s">
        <v>47</v>
      </c>
      <c r="G43" t="s">
        <v>78</v>
      </c>
      <c r="H43" t="s">
        <v>263</v>
      </c>
      <c r="I43" s="110" t="s">
        <v>264</v>
      </c>
      <c r="J43" s="32">
        <v>0.5</v>
      </c>
      <c r="K43" s="32">
        <v>0.35</v>
      </c>
      <c r="L43" s="32">
        <v>0.55000000000000004</v>
      </c>
      <c r="M43" s="55" t="s">
        <v>265</v>
      </c>
      <c r="N43" t="s">
        <v>266</v>
      </c>
      <c r="O43" s="26" t="s">
        <v>371</v>
      </c>
      <c r="P43" t="s">
        <v>267</v>
      </c>
      <c r="Q43" t="s">
        <v>268</v>
      </c>
      <c r="R43" t="s">
        <v>269</v>
      </c>
      <c r="S43" t="s">
        <v>270</v>
      </c>
      <c r="T43" t="s">
        <v>271</v>
      </c>
      <c r="U43" t="s">
        <v>272</v>
      </c>
      <c r="V43" t="s">
        <v>273</v>
      </c>
      <c r="W43" t="s">
        <v>274</v>
      </c>
      <c r="X43" t="s">
        <v>275</v>
      </c>
      <c r="Y43" t="s">
        <v>276</v>
      </c>
      <c r="Z43" t="s">
        <v>47</v>
      </c>
      <c r="AA43" t="s">
        <v>277</v>
      </c>
      <c r="AB43" s="26" t="s">
        <v>278</v>
      </c>
      <c r="AC43" t="s">
        <v>47</v>
      </c>
      <c r="AD43" t="s">
        <v>279</v>
      </c>
    </row>
    <row r="44" spans="1:30" ht="147.75" customHeight="1" x14ac:dyDescent="0.25">
      <c r="A44" t="s">
        <v>280</v>
      </c>
      <c r="B44">
        <v>90</v>
      </c>
      <c r="C44">
        <v>30</v>
      </c>
      <c r="D44">
        <v>2</v>
      </c>
      <c r="E44" t="s">
        <v>281</v>
      </c>
      <c r="G44" t="s">
        <v>88</v>
      </c>
      <c r="H44" t="s">
        <v>282</v>
      </c>
      <c r="I44" s="109" t="s">
        <v>283</v>
      </c>
      <c r="J44" s="33">
        <v>0.05</v>
      </c>
      <c r="K44" s="33">
        <v>0.2</v>
      </c>
      <c r="L44" s="33">
        <v>0</v>
      </c>
      <c r="M44" s="55" t="s">
        <v>284</v>
      </c>
      <c r="N44" t="s">
        <v>285</v>
      </c>
      <c r="O44" s="26" t="s">
        <v>372</v>
      </c>
      <c r="P44" t="s">
        <v>286</v>
      </c>
      <c r="Q44" t="s">
        <v>287</v>
      </c>
      <c r="R44" t="s">
        <v>288</v>
      </c>
      <c r="S44" t="s">
        <v>289</v>
      </c>
      <c r="T44" t="s">
        <v>290</v>
      </c>
      <c r="U44" t="s">
        <v>291</v>
      </c>
      <c r="V44" t="s">
        <v>292</v>
      </c>
      <c r="W44" t="s">
        <v>293</v>
      </c>
      <c r="X44" t="s">
        <v>294</v>
      </c>
      <c r="Z44" t="s">
        <v>295</v>
      </c>
      <c r="AB44" s="26" t="s">
        <v>296</v>
      </c>
      <c r="AC44" t="s">
        <v>297</v>
      </c>
      <c r="AD44" t="s">
        <v>298</v>
      </c>
    </row>
    <row r="45" spans="1:30" ht="90" x14ac:dyDescent="0.25">
      <c r="B45">
        <v>120</v>
      </c>
      <c r="C45">
        <v>60</v>
      </c>
      <c r="D45">
        <v>3</v>
      </c>
      <c r="H45" t="s">
        <v>299</v>
      </c>
      <c r="I45" s="39" t="s">
        <v>300</v>
      </c>
      <c r="J45" s="34">
        <v>0.12</v>
      </c>
      <c r="K45" s="34">
        <v>0.12</v>
      </c>
      <c r="L45" s="34">
        <v>0.12</v>
      </c>
      <c r="M45" s="55" t="s">
        <v>301</v>
      </c>
      <c r="O45" s="26" t="s">
        <v>373</v>
      </c>
      <c r="P45" t="s">
        <v>302</v>
      </c>
      <c r="Q45" t="s">
        <v>303</v>
      </c>
      <c r="R45" t="s">
        <v>304</v>
      </c>
      <c r="S45" t="s">
        <v>305</v>
      </c>
      <c r="T45" t="s">
        <v>306</v>
      </c>
      <c r="U45" t="s">
        <v>307</v>
      </c>
      <c r="V45" t="s">
        <v>308</v>
      </c>
      <c r="W45" t="s">
        <v>309</v>
      </c>
      <c r="X45" t="s">
        <v>310</v>
      </c>
      <c r="Z45" t="s">
        <v>280</v>
      </c>
    </row>
    <row r="46" spans="1:30" ht="45" x14ac:dyDescent="0.25">
      <c r="B46">
        <v>150</v>
      </c>
      <c r="C46">
        <v>90</v>
      </c>
      <c r="D46">
        <v>4</v>
      </c>
      <c r="H46" t="s">
        <v>311</v>
      </c>
      <c r="I46" s="108" t="s">
        <v>312</v>
      </c>
      <c r="J46" s="34">
        <v>0.03</v>
      </c>
      <c r="K46" s="34">
        <v>0.03</v>
      </c>
      <c r="L46" s="34">
        <v>0.03</v>
      </c>
      <c r="M46" s="55" t="s">
        <v>313</v>
      </c>
      <c r="O46" s="26" t="s">
        <v>314</v>
      </c>
      <c r="P46" t="s">
        <v>315</v>
      </c>
      <c r="Q46" t="s">
        <v>316</v>
      </c>
      <c r="R46" t="s">
        <v>317</v>
      </c>
      <c r="S46" t="s">
        <v>318</v>
      </c>
      <c r="U46" t="s">
        <v>319</v>
      </c>
      <c r="V46" t="s">
        <v>320</v>
      </c>
      <c r="W46" t="s">
        <v>321</v>
      </c>
      <c r="X46" t="s">
        <v>45</v>
      </c>
    </row>
    <row r="47" spans="1:30" ht="30" x14ac:dyDescent="0.25">
      <c r="B47">
        <v>180</v>
      </c>
      <c r="C47">
        <v>120</v>
      </c>
      <c r="D47">
        <v>5</v>
      </c>
      <c r="H47" t="s">
        <v>322</v>
      </c>
      <c r="I47" s="28" t="s">
        <v>323</v>
      </c>
      <c r="J47" s="35">
        <v>0.2</v>
      </c>
      <c r="K47" s="35">
        <v>0.2</v>
      </c>
      <c r="L47" s="35">
        <v>0.2</v>
      </c>
      <c r="O47" s="26" t="s">
        <v>324</v>
      </c>
      <c r="P47" t="s">
        <v>325</v>
      </c>
      <c r="Q47" t="s">
        <v>326</v>
      </c>
      <c r="R47" t="s">
        <v>327</v>
      </c>
      <c r="U47" t="s">
        <v>328</v>
      </c>
      <c r="V47" t="s">
        <v>329</v>
      </c>
      <c r="W47" t="s">
        <v>329</v>
      </c>
    </row>
    <row r="48" spans="1:30" x14ac:dyDescent="0.25">
      <c r="B48" s="26" t="s">
        <v>330</v>
      </c>
      <c r="C48">
        <v>150</v>
      </c>
      <c r="D48">
        <v>6</v>
      </c>
      <c r="H48" t="s">
        <v>331</v>
      </c>
      <c r="I48" s="120" t="s">
        <v>332</v>
      </c>
      <c r="J48" s="36">
        <v>0.1</v>
      </c>
      <c r="K48" s="36">
        <v>0.1</v>
      </c>
      <c r="L48" s="36">
        <v>0.1</v>
      </c>
      <c r="O48" s="26" t="s">
        <v>329</v>
      </c>
      <c r="P48" t="s">
        <v>333</v>
      </c>
    </row>
    <row r="49" spans="2:12" ht="30" x14ac:dyDescent="0.25">
      <c r="B49" s="26" t="s">
        <v>281</v>
      </c>
      <c r="H49" t="s">
        <v>334</v>
      </c>
      <c r="I49" s="121" t="s">
        <v>335</v>
      </c>
      <c r="J49" s="33">
        <v>0</v>
      </c>
      <c r="K49" s="33">
        <v>0</v>
      </c>
      <c r="L49" s="33">
        <v>0</v>
      </c>
    </row>
    <row r="50" spans="2:12" x14ac:dyDescent="0.25">
      <c r="H50" t="s">
        <v>336</v>
      </c>
      <c r="I50" s="38"/>
      <c r="J50" s="38"/>
      <c r="L50"/>
    </row>
    <row r="51" spans="2:12" x14ac:dyDescent="0.25">
      <c r="H51" t="s">
        <v>337</v>
      </c>
      <c r="J51" s="40"/>
    </row>
    <row r="52" spans="2:12" x14ac:dyDescent="0.25">
      <c r="H52" t="s">
        <v>338</v>
      </c>
      <c r="J52" s="38"/>
    </row>
    <row r="53" spans="2:12" x14ac:dyDescent="0.25">
      <c r="H53" t="s">
        <v>339</v>
      </c>
      <c r="J53" s="38"/>
    </row>
    <row r="54" spans="2:12" x14ac:dyDescent="0.25">
      <c r="H54" t="s">
        <v>340</v>
      </c>
      <c r="J54" s="38"/>
    </row>
    <row r="55" spans="2:12" x14ac:dyDescent="0.25">
      <c r="H55" t="s">
        <v>341</v>
      </c>
      <c r="J55" s="38"/>
    </row>
    <row r="56" spans="2:12" x14ac:dyDescent="0.25">
      <c r="H56" t="s">
        <v>342</v>
      </c>
      <c r="J56" s="38"/>
    </row>
    <row r="57" spans="2:12" x14ac:dyDescent="0.25">
      <c r="H57" t="s">
        <v>343</v>
      </c>
      <c r="J57" s="38"/>
    </row>
    <row r="58" spans="2:12" x14ac:dyDescent="0.25">
      <c r="H58" t="s">
        <v>344</v>
      </c>
      <c r="J58" s="38"/>
    </row>
    <row r="59" spans="2:12" x14ac:dyDescent="0.25">
      <c r="H59" t="s">
        <v>345</v>
      </c>
      <c r="J59" s="38"/>
    </row>
    <row r="60" spans="2:12" x14ac:dyDescent="0.25">
      <c r="H60" t="s">
        <v>346</v>
      </c>
      <c r="J60" s="38"/>
    </row>
    <row r="61" spans="2:12" x14ac:dyDescent="0.25">
      <c r="H61" t="s">
        <v>347</v>
      </c>
      <c r="J61" s="38"/>
    </row>
    <row r="62" spans="2:12" x14ac:dyDescent="0.25">
      <c r="H62" t="s">
        <v>348</v>
      </c>
      <c r="J62" s="38"/>
    </row>
    <row r="63" spans="2:12" x14ac:dyDescent="0.25">
      <c r="H63" t="s">
        <v>349</v>
      </c>
      <c r="J63" s="38"/>
    </row>
    <row r="64" spans="2:12" x14ac:dyDescent="0.25">
      <c r="H64" t="s">
        <v>350</v>
      </c>
      <c r="J64" s="38"/>
    </row>
    <row r="65" spans="1:10" x14ac:dyDescent="0.25">
      <c r="H65" t="s">
        <v>351</v>
      </c>
      <c r="J65" s="38"/>
    </row>
    <row r="66" spans="1:10" x14ac:dyDescent="0.25">
      <c r="H66" t="s">
        <v>352</v>
      </c>
      <c r="J66" s="38"/>
    </row>
    <row r="67" spans="1:10" x14ac:dyDescent="0.25">
      <c r="H67" t="s">
        <v>353</v>
      </c>
      <c r="J67" s="38"/>
    </row>
    <row r="68" spans="1:10" x14ac:dyDescent="0.25">
      <c r="H68" t="s">
        <v>354</v>
      </c>
      <c r="J68" s="38"/>
    </row>
    <row r="69" spans="1:10" x14ac:dyDescent="0.25">
      <c r="H69" t="s">
        <v>355</v>
      </c>
      <c r="J69" s="38"/>
    </row>
    <row r="70" spans="1:10" x14ac:dyDescent="0.25">
      <c r="H70" t="s">
        <v>356</v>
      </c>
      <c r="J70" s="38"/>
    </row>
    <row r="71" spans="1:10" x14ac:dyDescent="0.25">
      <c r="H71" t="s">
        <v>357</v>
      </c>
      <c r="J71" s="38"/>
    </row>
    <row r="74" spans="1:10" ht="15.75" thickBot="1" x14ac:dyDescent="0.3"/>
    <row r="75" spans="1:10" x14ac:dyDescent="0.25">
      <c r="A75" s="74" t="s">
        <v>358</v>
      </c>
      <c r="B75" t="s">
        <v>359</v>
      </c>
    </row>
    <row r="76" spans="1:10" x14ac:dyDescent="0.25">
      <c r="A76" s="72" t="str" cm="1">
        <f t="array" ref="A76:A79">_xlfn.UNIQUE(tabell_produktkrav_1[Kravsett])</f>
        <v>Generelle</v>
      </c>
      <c r="B76" t="s">
        <v>360</v>
      </c>
    </row>
    <row r="77" spans="1:10" x14ac:dyDescent="0.25">
      <c r="A77" s="72" t="str">
        <v>Miljø</v>
      </c>
    </row>
    <row r="78" spans="1:10" x14ac:dyDescent="0.25">
      <c r="A78" s="72" t="str">
        <v>Tablett/kapsel</v>
      </c>
    </row>
    <row r="79" spans="1:10" x14ac:dyDescent="0.25">
      <c r="A79" s="72">
        <v>0</v>
      </c>
    </row>
    <row r="80" spans="1:10" x14ac:dyDescent="0.25">
      <c r="A80" s="72"/>
    </row>
    <row r="81" spans="1:1" x14ac:dyDescent="0.25">
      <c r="A81" s="72"/>
    </row>
    <row r="82" spans="1:1" x14ac:dyDescent="0.25">
      <c r="A82" s="72"/>
    </row>
    <row r="83" spans="1:1" x14ac:dyDescent="0.25">
      <c r="A83" s="72"/>
    </row>
    <row r="84" spans="1:1" x14ac:dyDescent="0.25">
      <c r="A84" s="72"/>
    </row>
    <row r="85" spans="1:1" x14ac:dyDescent="0.25">
      <c r="A85" s="72"/>
    </row>
    <row r="86" spans="1:1" x14ac:dyDescent="0.25">
      <c r="A86" s="72"/>
    </row>
    <row r="87" spans="1:1" x14ac:dyDescent="0.25">
      <c r="A87" s="72"/>
    </row>
    <row r="88" spans="1:1" x14ac:dyDescent="0.25">
      <c r="A88" s="72"/>
    </row>
    <row r="89" spans="1:1" x14ac:dyDescent="0.25">
      <c r="A89" s="72"/>
    </row>
    <row r="90" spans="1:1" x14ac:dyDescent="0.25">
      <c r="A90" s="72"/>
    </row>
    <row r="91" spans="1:1" x14ac:dyDescent="0.25">
      <c r="A91" s="72"/>
    </row>
    <row r="92" spans="1:1" x14ac:dyDescent="0.25">
      <c r="A92" s="72"/>
    </row>
    <row r="93" spans="1:1" x14ac:dyDescent="0.25">
      <c r="A93" s="72"/>
    </row>
    <row r="94" spans="1:1" x14ac:dyDescent="0.25">
      <c r="A94" s="72"/>
    </row>
    <row r="95" spans="1:1" x14ac:dyDescent="0.25">
      <c r="A95" s="72"/>
    </row>
    <row r="96" spans="1:1" x14ac:dyDescent="0.25">
      <c r="A96" s="72"/>
    </row>
    <row r="97" spans="1:1" x14ac:dyDescent="0.25">
      <c r="A97" s="72"/>
    </row>
    <row r="98" spans="1:1" x14ac:dyDescent="0.25">
      <c r="A98" s="72"/>
    </row>
    <row r="99" spans="1:1" x14ac:dyDescent="0.25">
      <c r="A99" s="72"/>
    </row>
    <row r="100" spans="1:1" x14ac:dyDescent="0.25">
      <c r="A100" s="72"/>
    </row>
    <row r="101" spans="1:1" x14ac:dyDescent="0.25">
      <c r="A101" s="72"/>
    </row>
    <row r="102" spans="1:1" x14ac:dyDescent="0.25">
      <c r="A102" s="72"/>
    </row>
    <row r="103" spans="1:1" x14ac:dyDescent="0.25">
      <c r="A103" s="72"/>
    </row>
    <row r="104" spans="1:1" x14ac:dyDescent="0.25">
      <c r="A104" s="72"/>
    </row>
    <row r="105" spans="1:1" x14ac:dyDescent="0.25">
      <c r="A105" s="72"/>
    </row>
    <row r="106" spans="1:1" x14ac:dyDescent="0.25">
      <c r="A106" s="72"/>
    </row>
    <row r="107" spans="1:1" x14ac:dyDescent="0.25">
      <c r="A107" s="72"/>
    </row>
    <row r="108" spans="1:1" x14ac:dyDescent="0.25">
      <c r="A108" s="72"/>
    </row>
    <row r="109" spans="1:1" ht="15.75" thickBot="1" x14ac:dyDescent="0.3">
      <c r="A109" s="73"/>
    </row>
  </sheetData>
  <sheetProtection formatColumns="0" formatRows="0"/>
  <phoneticPr fontId="24" type="noConversion"/>
  <pageMargins left="0.7" right="0.7" top="0.75" bottom="0.75" header="0.3" footer="0.3"/>
  <pageSetup paperSize="9"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C25003EF3CEA4E98B6276DCECD5933" ma:contentTypeVersion="22" ma:contentTypeDescription="Opprett et nytt dokument." ma:contentTypeScope="" ma:versionID="772317c6209b008c60ff4b30c526b4b4">
  <xsd:schema xmlns:xsd="http://www.w3.org/2001/XMLSchema" xmlns:xs="http://www.w3.org/2001/XMLSchema" xmlns:p="http://schemas.microsoft.com/office/2006/metadata/properties" xmlns:ns2="694b94fb-7d12-460f-8352-d836dedbe3d8" xmlns:ns3="61ee015b-1d26-4d10-a1cf-680b43da1703" targetNamespace="http://schemas.microsoft.com/office/2006/metadata/properties" ma:root="true" ma:fieldsID="b1a33c43345500f3767c05cc5d2100ec" ns2:_="" ns3:_="">
    <xsd:import namespace="694b94fb-7d12-460f-8352-d836dedbe3d8"/>
    <xsd:import namespace="61ee015b-1d26-4d10-a1cf-680b43da170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Avtalestart" minOccurs="0"/>
                <xsd:element ref="ns2:Avtaleslutt" minOccurs="0"/>
                <xsd:element ref="ns2:Sisteoppdatering" minOccurs="0"/>
                <xsd:element ref="ns2:Mulighetforprolongering"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4b94fb-7d12-460f-8352-d836dedbe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a64a8461-4d9a-4b5d-93bd-86a5dfa08d83" ma:termSetId="09814cd3-568e-fe90-9814-8d621ff8fb84" ma:anchorId="fba54fb3-c3e1-fe81-a776-ca4b69148c4d" ma:open="true" ma:isKeyword="false">
      <xsd:complexType>
        <xsd:sequence>
          <xsd:element ref="pc:Terms" minOccurs="0" maxOccurs="1"/>
        </xsd:sequence>
      </xsd:complexType>
    </xsd:element>
    <xsd:element name="Avtalestart" ma:index="24" nillable="true" ma:displayName="Avtalestart" ma:format="Dropdown" ma:internalName="Avtalestart">
      <xsd:simpleType>
        <xsd:restriction base="dms:Text">
          <xsd:maxLength value="255"/>
        </xsd:restriction>
      </xsd:simpleType>
    </xsd:element>
    <xsd:element name="Avtaleslutt" ma:index="25" nillable="true" ma:displayName="Avtaleslutt" ma:format="Dropdown" ma:internalName="Avtaleslutt">
      <xsd:simpleType>
        <xsd:restriction base="dms:Text">
          <xsd:maxLength value="255"/>
        </xsd:restriction>
      </xsd:simpleType>
    </xsd:element>
    <xsd:element name="Sisteoppdatering" ma:index="26" nillable="true" ma:displayName="Siste oppdatering" ma:format="Dropdown" ma:internalName="Sisteoppdatering">
      <xsd:simpleType>
        <xsd:restriction base="dms:Text">
          <xsd:maxLength value="255"/>
        </xsd:restriction>
      </xsd:simpleType>
    </xsd:element>
    <xsd:element name="Mulighetforprolongering" ma:index="27" nillable="true" ma:displayName="Mulighet for prolongering" ma:format="Dropdown" ma:internalName="Mulighetforprolongering">
      <xsd:simpleType>
        <xsd:restriction base="dms:Text">
          <xsd:maxLength value="255"/>
        </xsd:restriction>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ee015b-1d26-4d10-a1cf-680b43da1703"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2926b062-38cf-49fe-adf1-adcd1554e8e3}" ma:internalName="TaxCatchAll" ma:showField="CatchAllData" ma:web="61ee015b-1d26-4d10-a1cf-680b43da17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1ee015b-1d26-4d10-a1cf-680b43da1703" xsi:nil="true"/>
    <lcf76f155ced4ddcb4097134ff3c332f xmlns="694b94fb-7d12-460f-8352-d836dedbe3d8">
      <Terms xmlns="http://schemas.microsoft.com/office/infopath/2007/PartnerControls"/>
    </lcf76f155ced4ddcb4097134ff3c332f>
    <Sisteoppdatering xmlns="694b94fb-7d12-460f-8352-d836dedbe3d8" xsi:nil="true"/>
    <Avtaleslutt xmlns="694b94fb-7d12-460f-8352-d836dedbe3d8" xsi:nil="true"/>
    <Mulighetforprolongering xmlns="694b94fb-7d12-460f-8352-d836dedbe3d8" xsi:nil="true"/>
    <Avtalestart xmlns="694b94fb-7d12-460f-8352-d836dedbe3d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4DE249-1AC8-4A51-A94C-6CB821C5D4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4b94fb-7d12-460f-8352-d836dedbe3d8"/>
    <ds:schemaRef ds:uri="61ee015b-1d26-4d10-a1cf-680b43da17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32CC48-B7A6-4321-804B-5B8A0A73A5CB}">
  <ds:schemaRefs>
    <ds:schemaRef ds:uri="http://purl.org/dc/elements/1.1/"/>
    <ds:schemaRef ds:uri="http://purl.org/dc/dcmitype/"/>
    <ds:schemaRef ds:uri="http://purl.org/dc/terms/"/>
    <ds:schemaRef ds:uri="694b94fb-7d12-460f-8352-d836dedbe3d8"/>
    <ds:schemaRef ds:uri="http://www.w3.org/XML/1998/namespace"/>
    <ds:schemaRef ds:uri="61ee015b-1d26-4d10-a1cf-680b43da1703"/>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754D5F87-7B5B-4A98-9ADD-74AF55F61B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6</vt:i4>
      </vt:variant>
      <vt:variant>
        <vt:lpstr>Navngitte områder</vt:lpstr>
      </vt:variant>
      <vt:variant>
        <vt:i4>16</vt:i4>
      </vt:variant>
    </vt:vector>
  </HeadingPairs>
  <TitlesOfParts>
    <vt:vector size="22" baseType="lpstr">
      <vt:lpstr>1. Innhold</vt:lpstr>
      <vt:lpstr>2. Forklaring til kravspes.</vt:lpstr>
      <vt:lpstr>3. Anskaffelsen</vt:lpstr>
      <vt:lpstr>4. Krav overordnet nivå</vt:lpstr>
      <vt:lpstr>5. Krav til prod.</vt:lpstr>
      <vt:lpstr>Lister</vt:lpstr>
      <vt:lpstr>Anskaffelsesnavn</vt:lpstr>
      <vt:lpstr>Delleveranse</vt:lpstr>
      <vt:lpstr>Dokumentnavn</vt:lpstr>
      <vt:lpstr>Dokumentnummer</vt:lpstr>
      <vt:lpstr>kravtype</vt:lpstr>
      <vt:lpstr>navn_Anskaffelseskode</vt:lpstr>
      <vt:lpstr>navn_atc</vt:lpstr>
      <vt:lpstr>navn_bruksomrade</vt:lpstr>
      <vt:lpstr>navn_delleveranse</vt:lpstr>
      <vt:lpstr>navn_leverandornavn</vt:lpstr>
      <vt:lpstr>navn_leverandornavn_produktfane</vt:lpstr>
      <vt:lpstr>navn_Navn_på_kravspesifikasjon</vt:lpstr>
      <vt:lpstr>navn_undergruppe</vt:lpstr>
      <vt:lpstr>navn_virkestoff</vt:lpstr>
      <vt:lpstr>oppfylt</vt:lpstr>
      <vt:lpstr>toggle_betingetFormatering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Heitmann</dc:creator>
  <cp:keywords/>
  <dc:description/>
  <cp:lastModifiedBy>Gudrun Gudnadottir</cp:lastModifiedBy>
  <cp:revision/>
  <dcterms:created xsi:type="dcterms:W3CDTF">2019-10-03T11:31:27Z</dcterms:created>
  <dcterms:modified xsi:type="dcterms:W3CDTF">2024-04-09T07:22:50Z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0x010100A3C25003EF3CEA4E98B6276DCECD5933</vt:lpwstr>
  </property>
  <property fmtid="{D5CDD505-2E9C-101B-9397-08002B2CF9AE}" pid="3" name="Order">
    <vt:r8>114800</vt:r8>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ies>
</file>